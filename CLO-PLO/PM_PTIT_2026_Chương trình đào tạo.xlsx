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KS26 - Khung chương trình - Kỳ I - Nền tảng" sheetId="2" r:id="rId5"/>
    <sheet name="KS26 - Khung chương trình - Kỳ II - Nền tảng" sheetId="3" r:id="rId6"/>
    <sheet name="KS26 - Khung chương trình - Kỳ III - Chuyên ngành" sheetId="4" r:id="rId7"/>
    <sheet name="KS26 - Khung chương trình - Kỳ IV - Chuyên ngành" sheetId="5" r:id="rId8"/>
    <sheet name="KS26 - Khung chương trình - Kỳ V - Chuyên ngành" sheetId="6" r:id="rId9"/>
    <sheet name="IT-101 Nhập môn CNTT" sheetId="7" r:id="rId10"/>
    <sheet name="IT-102 Kỹ năng prompting với AI" sheetId="8" r:id="rId11"/>
    <sheet name="IT-103 Thiết kế giao diện người dùng" sheetId="9" r:id="rId12"/>
    <sheet name="IT-104 Phát triển giao diện web" sheetId="10" r:id="rId13"/>
    <sheet name="IT-105 Quản lý phiên bản với GIT" sheetId="11" r:id="rId14"/>
    <sheet name="IT-106 Phát triển ứng dụng web" sheetId="12" r:id="rId1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<sst xmlns="http://schemas.openxmlformats.org/spreadsheetml/2006/main" count="548" uniqueCount="548">
  <si>
    <t xml:space="preserve">  </t>
  </si>
  <si>
    <t xml:space="preserve">PTIT - KS26 - Khung chương trình kiến thức nền tảng - Kỳ học I</t>
  </si>
  <si>
    <t/>
    <r>
      <rPr>
        <b val="true"/>
        <i val="false"/>
        <strike val="false"/>
        <sz val="24"/>
        <color rgb="FF000000"/>
      </rPr>
      <t xml:space="preserve">PLO - Program Learning Outcome
</t>
    </r>
    <r>
      <rPr>
        <b val="false"/>
        <i val="false"/>
        <strike val="false"/>
        <sz val="24"/>
        <color rgb="FF000000"/>
      </rPr>
      <t xml:space="preserve">(Chuẩn đầu ra - Học kỳ I)</t>
    </r>
  </si>
  <si>
    <t/>
    <r>
      <rPr>
        <b val="true"/>
        <i val="false"/>
        <strike val="false"/>
        <sz val="14"/>
        <color rgb="FF000000"/>
      </rPr>
      <t xml:space="preserve">PLO 1: </t>
    </r>
    <r>
      <rPr>
        <b val="false"/>
        <i val="false"/>
        <strike val="false"/>
        <sz val="14"/>
        <color rgb="FF000000"/>
      </rPr>
      <t xml:space="preserve">Sử dụng thành thạo máy tính, hệ điều hành và các lệnh Git cốt lõi để quản lý tài nguyên và phiên bản mã nguồn.
</t>
    </r>
    <r>
      <rPr>
        <b val="true"/>
        <i val="false"/>
        <strike val="false"/>
        <sz val="14"/>
        <color rgb="FF000000"/>
      </rPr>
      <t xml:space="preserve">PLO 2: </t>
    </r>
    <r>
      <rPr>
        <b val="false"/>
        <i val="false"/>
        <strike val="false"/>
        <sz val="14"/>
        <color rgb="FF000000"/>
      </rPr>
      <t xml:space="preserve">Vận dụng kỹ thuật Prompt Engineering với LLMs để tra cứu kiến thức, tóm tắt thông tin và tối ưu hóa tốc độ tự học.
</t>
    </r>
    <r>
      <rPr>
        <b val="true"/>
        <i val="false"/>
        <strike val="false"/>
        <sz val="14"/>
        <color rgb="FF000000"/>
      </rPr>
      <t xml:space="preserve">PLO 3: </t>
    </r>
    <r>
      <rPr>
        <b val="false"/>
        <i val="false"/>
        <strike val="false"/>
        <sz val="14"/>
        <color rgb="FF000000"/>
      </rPr>
      <t xml:space="preserve">Thiết kế và lập trình giao diện Web (Responsive) bằng HTML/CSS và các Framework UI chuẩn mực.
</t>
    </r>
    <r>
      <rPr>
        <b val="true"/>
        <i val="false"/>
        <strike val="false"/>
        <sz val="14"/>
        <color rgb="FF000000"/>
      </rPr>
      <t xml:space="preserve">PLO 4: </t>
    </r>
    <r>
      <rPr>
        <b val="false"/>
        <i val="false"/>
        <strike val="false"/>
        <sz val="14"/>
        <color rgb="FF000000"/>
      </rPr>
      <t xml:space="preserve">Lập trình các tính năng tương tác Web bằng Javascript thuần, đồng thời biết sử dụng AI để sinh logic, kiểm thử và sửa lỗi (Debugging).
</t>
    </r>
    <r>
      <rPr>
        <b val="true"/>
        <i val="false"/>
        <strike val="false"/>
        <sz val="14"/>
        <color rgb="FF000000"/>
      </rPr>
      <t xml:space="preserve">PLO 5: </t>
    </r>
    <r>
      <rPr>
        <b val="false"/>
        <i val="false"/>
        <strike val="false"/>
        <sz val="14"/>
        <color rgb="FF000000"/>
      </rPr>
      <t xml:space="preserve">Rèn luyện phương pháp quản lý thời gian và học tập chủ động để thích ứng với kỷ nguyên AI.</t>
    </r>
  </si>
  <si>
    <t xml:space="preserve">STT</t>
  </si>
  <si>
    <t xml:space="preserve">Mã môn</t>
  </si>
  <si>
    <t xml:space="preserve">Học kỳ</t>
  </si>
  <si>
    <t xml:space="preserve">Môn học</t>
  </si>
  <si>
    <t xml:space="preserve">Đầu ra môn học</t>
  </si>
  <si>
    <t xml:space="preserve">Nội dung chính</t>
  </si>
  <si>
    <t xml:space="preserve">Hình thức khảo thí</t>
  </si>
  <si>
    <t xml:space="preserve">Lý thuyết</t>
  </si>
  <si>
    <t xml:space="preserve">Thực hành</t>
  </si>
  <si>
    <t xml:space="preserve">Mini Project</t>
  </si>
  <si>
    <t xml:space="preserve">Thi
(Exam)</t>
  </si>
  <si>
    <t xml:space="preserve">Dự án 
(Project)</t>
  </si>
  <si>
    <t xml:space="preserve">Tổng số tiết 
(2 giờ/tiết)</t>
  </si>
  <si>
    <t xml:space="preserve">Tổng thời gian (Giờ)</t>
  </si>
  <si>
    <t xml:space="preserve">Offline</t>
  </si>
  <si>
    <t xml:space="preserve">Online</t>
  </si>
  <si>
    <t xml:space="preserve">IT-101</t>
  </si>
  <si>
    <t xml:space="preserve">SEM I</t>
  </si>
  <si>
    <t/>
    <r>
      <rPr>
        <b val="true"/>
        <i val="false"/>
        <strike val="false"/>
        <sz val="14"/>
        <color rgb="FF000000"/>
      </rPr>
      <t xml:space="preserve">Fundamental of IT
</t>
    </r>
    <r>
      <rPr>
        <b val="false"/>
        <i val="false"/>
        <strike val="false"/>
        <sz val="14"/>
        <color rgb="FF000000"/>
      </rPr>
      <t xml:space="preserve">(Nhập môn CNTT)</t>
    </r>
  </si>
  <si>
    <t/>
    <r>
      <rPr>
        <b val="true"/>
        <i val="false"/>
        <strike val="false"/>
        <sz val="14"/>
        <color rgb="FF000000"/>
      </rPr>
      <t>CLO1</t>
    </r>
    <r>
      <rPr>
        <b val="false"/>
        <i val="false"/>
        <strike val="false"/>
        <sz val="14"/>
        <color rgb="FF000000"/>
      </rPr>
      <t xml:space="preserve">: Tối ưu hóa được môi trường máy tính cá nhân phục vụ lập trình.
</t>
    </r>
    <r>
      <rPr>
        <b val="true"/>
        <i val="false"/>
        <strike val="false"/>
        <sz val="14"/>
        <color rgb="FF000000"/>
      </rPr>
      <t>CLO2</t>
    </r>
    <r>
      <rPr>
        <b val="false"/>
        <i val="false"/>
        <strike val="false"/>
        <sz val="14"/>
        <color rgb="FF000000"/>
      </rPr>
      <t xml:space="preserve">: Thao tác thành thạo Terminal cơ bản.
</t>
    </r>
    <r>
      <rPr>
        <b val="true"/>
        <i val="false"/>
        <strike val="false"/>
        <sz val="14"/>
        <color rgb="FF000000"/>
      </rPr>
      <t>CLO3</t>
    </r>
    <r>
      <rPr>
        <b val="false"/>
        <i val="false"/>
        <strike val="false"/>
        <sz val="14"/>
        <color rgb="FF000000"/>
      </rPr>
      <t xml:space="preserve">: Làm chủ các công cụ tin học văn phòng
</t>
    </r>
    <r>
      <rPr>
        <b val="true"/>
        <i val="false"/>
        <strike val="false"/>
        <sz val="14"/>
        <color rgb="FF000000"/>
      </rPr>
      <t>CLO4</t>
    </r>
    <r>
      <rPr>
        <b val="false"/>
        <i val="false"/>
        <strike val="false"/>
        <sz val="14"/>
        <color rgb="FF000000"/>
      </rPr>
      <t xml:space="preserve">: Thành thạo các công cụ cộng tác đám </t>
    </r>
    <r>
      <rPr>
        <b val="true"/>
        <i val="false"/>
        <strike val="false"/>
        <sz val="14"/>
        <color rgb="FF000000"/>
      </rPr>
      <t>mây</t>
    </r>
  </si>
  <si>
    <t xml:space="preserve">Kiến trúc HĐH, Terminal Commands, Markdown, quy tắc đặt tên thư mục, tư duy quản lý file.</t>
  </si>
  <si>
    <t xml:space="preserve">Thi thực hành</t>
  </si>
  <si>
    <t xml:space="preserve">IT-102</t>
  </si>
  <si>
    <t/>
    <r>
      <rPr>
        <b val="true"/>
        <i val="false"/>
        <strike val="false"/>
        <sz val="14"/>
        <color rgb="FF000000"/>
      </rPr>
      <t xml:space="preserve">AI Prompting Foundation
</t>
    </r>
    <r>
      <rPr>
        <b val="false"/>
        <i val="false"/>
        <strike val="false"/>
        <sz val="14"/>
        <color rgb="FF000000"/>
      </rPr>
      <t xml:space="preserve">(Kỹ năng promting với AI)</t>
    </r>
  </si>
  <si>
    <t/>
    <r>
      <rPr>
        <b val="true"/>
        <i val="false"/>
        <strike val="false"/>
        <sz val="14"/>
        <color rgb="FF000000"/>
      </rPr>
      <t>CLO1</t>
    </r>
    <r>
      <rPr>
        <b val="false"/>
        <i val="false"/>
        <strike val="false"/>
        <sz val="14"/>
        <color rgb="FF000000"/>
      </rPr>
      <t xml:space="preserve">: Giao tiếp chính xác với AI thông qua cấu trúc và kỹ thuật Prompt chuẩn (Khái niệm Token, Context Window; Kỹ thuật Prompting cốt lõi (Zero/Few-shot, Chain-of-Thought)
</t>
    </r>
    <r>
      <rPr>
        <b val="true"/>
        <i val="false"/>
        <strike val="false"/>
        <sz val="14"/>
        <color rgb="FF000000"/>
      </rPr>
      <t>CLO2</t>
    </r>
    <r>
      <rPr>
        <b val="false"/>
        <i val="false"/>
        <strike val="false"/>
        <sz val="14"/>
        <color rgb="FF000000"/>
      </rPr>
      <t xml:space="preserve">: Khai thác AI để tóm tắt tài liệu và học tập.
</t>
    </r>
    <r>
      <rPr>
        <b val="true"/>
        <i val="false"/>
        <strike val="false"/>
        <sz val="14"/>
        <color rgb="FF000000"/>
      </rPr>
      <t>CLO3</t>
    </r>
    <r>
      <rPr>
        <b val="false"/>
        <i val="false"/>
        <strike val="false"/>
        <sz val="14"/>
        <color rgb="FF000000"/>
      </rPr>
      <t xml:space="preserve">: Nhận thức rõ giới hạn, tình trạng ảo giác (Hallucination) và độ sai lệch của AI.</t>
    </r>
  </si>
  <si>
    <t xml:space="preserve">Khái niệm Token, Context Window, kỹ thuật Zero-shot/Few-shot, Chain-of-Thought, cấu trúc ACT (Action-Context-Tone).</t>
  </si>
  <si>
    <t xml:space="preserve">IT-103</t>
  </si>
  <si>
    <t/>
    <r>
      <rPr>
        <b val="true"/>
        <i val="false"/>
        <strike val="false"/>
        <sz val="14"/>
        <color rgb="FF000000"/>
      </rPr>
      <t xml:space="preserve">UI/UX Design
</t>
    </r>
    <r>
      <rPr>
        <b val="false"/>
        <i val="false"/>
        <strike val="false"/>
        <sz val="14"/>
        <color rgb="FF000000"/>
      </rPr>
      <t xml:space="preserve">(Thiết kế giao diện web)</t>
    </r>
  </si>
  <si>
    <t/>
    <r>
      <rPr>
        <b val="true"/>
        <i val="false"/>
        <strike val="false"/>
        <sz val="14"/>
        <color rgb="FF000000"/>
      </rPr>
      <t xml:space="preserve">CLO1: </t>
    </r>
    <r>
      <rPr>
        <b val="false"/>
        <i val="false"/>
        <strike val="false"/>
        <sz val="14"/>
        <color rgb="FF000000"/>
      </rPr>
      <t xml:space="preserve">Áp dụng tư duy UX cơ bản vào luồng người dùng (User Flow).
</t>
    </r>
    <r>
      <rPr>
        <b val="true"/>
        <i val="false"/>
        <strike val="false"/>
        <sz val="14"/>
        <color rgb="FF000000"/>
      </rPr>
      <t xml:space="preserve">CLO2: </t>
    </r>
    <r>
      <rPr>
        <b val="false"/>
        <i val="false"/>
        <strike val="false"/>
        <sz val="14"/>
        <color rgb="FF000000"/>
      </rPr>
      <t xml:space="preserve">Thao tác thành thạo công cụ vẽ Figma.
</t>
    </r>
    <r>
      <rPr>
        <b val="true"/>
        <i val="false"/>
        <strike val="false"/>
        <sz val="14"/>
        <color rgb="FF000000"/>
      </rPr>
      <t xml:space="preserve">CLO3: </t>
    </r>
    <r>
      <rPr>
        <b val="false"/>
        <i val="false"/>
        <strike val="false"/>
        <sz val="14"/>
        <color rgb="FF000000"/>
      </rPr>
      <t xml:space="preserve">Thiết kế Prototype ứng dụng Web đa màn hình.</t>
    </r>
  </si>
  <si>
    <t/>
    <r>
      <rPr>
        <b val="false"/>
        <i val="false"/>
        <strike val="false"/>
        <sz val="14"/>
        <color rgb="FF000000"/>
      </rPr>
      <t xml:space="preserve">Wireframe, Typography, Color Theory, Figma Components, Auto Layout, Prototyping.
</t>
    </r>
    <r>
      <rPr>
        <b val="true"/>
        <i val="true"/>
        <strike val="false"/>
        <sz val="14"/>
        <color rgb="FF000000"/>
      </rPr>
      <t xml:space="preserve">Giới thiệu về công cụ agentic coding agent sinh ra figma (Open design, claude design)
Tính kế thừa:</t>
    </r>
    <r>
      <rPr>
        <b val="false"/>
        <i val="true"/>
        <strike val="false"/>
        <sz val="14"/>
        <color rgb="FF000000"/>
      </rPr>
      <t xml:space="preserve"> Áp dụng kỹ năng Prompt (IT-102) để lên ý tưởng nội dung và cấu trúc chức năng, sau đó dùng Figma để hiện thực hóa thành bản vẽ trực quan.
</t>
    </r>
    <r>
      <rPr>
        <b val="true"/>
        <i val="false"/>
        <strike val="false"/>
        <sz val="14"/>
        <color rgb="FF000000"/>
      </rPr>
      <t xml:space="preserve">Sản phẩm đầu ra:</t>
    </r>
    <r>
      <rPr>
        <b val="false"/>
        <i val="false"/>
        <strike val="false"/>
        <sz val="14"/>
        <color rgb="FF000000"/>
      </rPr>
      <t xml:space="preserve"> Bản vẽ UI/UX hoàn chỉnh cho một Website bán hàng/giới thiệu.</t>
    </r>
  </si>
  <si>
    <t xml:space="preserve">IT-104</t>
  </si>
  <si>
    <t/>
    <r>
      <rPr>
        <b val="true"/>
        <i val="false"/>
        <strike val="false"/>
        <sz val="14"/>
        <color rgb="FF000000"/>
      </rPr>
      <t xml:space="preserve">Web Interface Development
</t>
    </r>
    <r>
      <rPr>
        <b val="false"/>
        <i val="false"/>
        <strike val="false"/>
        <sz val="14"/>
        <color rgb="FF000000"/>
      </rPr>
      <t xml:space="preserve">(Phát triển giao diện web)</t>
    </r>
  </si>
  <si>
    <t/>
    <r>
      <rPr>
        <b val="true"/>
        <i val="false"/>
        <strike val="false"/>
        <sz val="14"/>
        <color rgb="FF000000"/>
      </rPr>
      <t>CLO1</t>
    </r>
    <r>
      <rPr>
        <b val="false"/>
        <i val="false"/>
        <strike val="false"/>
        <sz val="14"/>
        <color rgb="FF000000"/>
      </rPr>
      <t xml:space="preserve">: Lập trình được giao diện Web đáp ứng (Responsive) bằng mã thuần HTML5/CSS3.
</t>
    </r>
    <r>
      <rPr>
        <b val="true"/>
        <i val="false"/>
        <strike val="false"/>
        <sz val="14"/>
        <color rgb="FF000000"/>
      </rPr>
      <t>CLO2</t>
    </r>
    <r>
      <rPr>
        <b val="false"/>
        <i val="false"/>
        <strike val="false"/>
        <sz val="14"/>
        <color rgb="FF000000"/>
      </rPr>
      <t xml:space="preserve">: Áp dụng thành thạo các Framework CSS vào dự án thực tế.
</t>
    </r>
    <r>
      <rPr>
        <b val="true"/>
        <i val="false"/>
        <strike val="false"/>
        <sz val="14"/>
        <color rgb="FF000000"/>
      </rPr>
      <t>CLO3:</t>
    </r>
    <r>
      <rPr>
        <b val="false"/>
        <i val="false"/>
        <strike val="false"/>
        <sz val="14"/>
        <color rgb="FF000000"/>
      </rPr>
      <t xml:space="preserve"> Vận dụng kỹ năng AI Prompting để sinh logic giao diện phức tạp, tìm lỗi (Debugging) và tối ưu hóa mã nguồn.</t>
    </r>
  </si>
  <si>
    <t/>
    <r>
      <rPr>
        <b val="false"/>
        <i val="false"/>
        <strike val="false"/>
        <sz val="14"/>
        <color rgb="FF000000"/>
      </rPr>
      <t xml:space="preserve">HTML5 Semantic, CSS3 Core, Flexbox, CSS Grid, Tailwind CSS classes.
</t>
    </r>
    <r>
      <rPr>
        <b val="true"/>
        <i val="true"/>
        <strike val="false"/>
        <sz val="14"/>
        <color rgb="FF000000"/>
      </rPr>
      <t xml:space="preserve">Tính kế thừa:</t>
    </r>
    <r>
      <rPr>
        <b val="false"/>
        <i val="true"/>
        <strike val="false"/>
        <sz val="14"/>
        <color rgb="FF000000"/>
      </rPr>
      <t xml:space="preserve"> Xuất các thông số (màu sắc, kích thước) từ bản vẽ Figma (IT-103) và tự tay gõ code để tái hiện lại chính xác 100% bản vẽ đó trên trình duyệt.
</t>
    </r>
    <r>
      <rPr>
        <b val="true"/>
        <i val="false"/>
        <strike val="false"/>
        <sz val="14"/>
        <color rgb="FF000000"/>
      </rPr>
      <t xml:space="preserve">Sản phẩm đầu ra:</t>
    </r>
    <r>
      <rPr>
        <b val="false"/>
        <i val="false"/>
        <strike val="false"/>
        <sz val="14"/>
        <color rgb="FF000000"/>
      </rPr>
      <t xml:space="preserve"> Giao diện Website tĩnh (chỉ có HTML/CSS) chuẩn xác theo Figma.</t>
    </r>
  </si>
  <si>
    <t xml:space="preserve">IT-105</t>
  </si>
  <si>
    <t/>
    <r>
      <rPr>
        <b val="true"/>
        <i val="false"/>
        <strike val="false"/>
        <sz val="14"/>
        <color rgb="FF000000"/>
      </rPr>
      <t xml:space="preserve">GIT Version Control
</t>
    </r>
    <r>
      <rPr>
        <b val="false"/>
        <i val="false"/>
        <strike val="false"/>
        <sz val="14"/>
        <color rgb="FF000000"/>
      </rPr>
      <t xml:space="preserve">(Quản lý phiên bản với GIT)</t>
    </r>
  </si>
  <si>
    <t/>
    <r>
      <rPr>
        <b val="true"/>
        <i val="false"/>
        <strike val="false"/>
        <sz val="14"/>
        <color rgb="FF000000"/>
      </rPr>
      <t>CLO1</t>
    </r>
    <r>
      <rPr>
        <b val="false"/>
        <i val="false"/>
        <strike val="false"/>
        <sz val="14"/>
        <color rgb="FF000000"/>
      </rPr>
      <t xml:space="preserve">: Thao tác thành thạo Git để lưu trữ dự án.
</t>
    </r>
    <r>
      <rPr>
        <b val="true"/>
        <i val="false"/>
        <strike val="false"/>
        <sz val="14"/>
        <color rgb="FF000000"/>
      </rPr>
      <t>CLO2</t>
    </r>
    <r>
      <rPr>
        <b val="false"/>
        <i val="false"/>
        <strike val="false"/>
        <sz val="14"/>
        <color rgb="FF000000"/>
      </rPr>
      <t xml:space="preserve">: Xử lý các tình huống phối hợp mã nguồn cơ bản.
</t>
    </r>
  </si>
  <si>
    <t/>
    <r>
      <rPr>
        <b val="false"/>
        <i val="false"/>
        <strike val="false"/>
        <sz val="14"/>
        <color rgb="FF000000"/>
      </rPr>
      <t xml:space="preserve">Git CLI, GitHub Repository, Git Flow, Pull Request, .gitignore.
</t>
    </r>
    <r>
      <rPr>
        <b val="true"/>
        <i val="true"/>
        <strike val="false"/>
        <sz val="14"/>
        <color rgb="FF000000"/>
      </rPr>
      <t xml:space="preserve">Tính kế thừa:</t>
    </r>
    <r>
      <rPr>
        <b val="false"/>
        <i val="true"/>
        <strike val="false"/>
        <sz val="14"/>
        <color rgb="FF000000"/>
      </rPr>
      <t xml:space="preserve"> Gom toàn bộ thư mục code Web từ IT-104, khởi tạo Git và đẩy lên GitHub. Thực hành chia nhánh để nhiều sinh viên cùng code trên 1 source.
</t>
    </r>
    <r>
      <rPr>
        <b val="true"/>
        <i val="false"/>
        <strike val="false"/>
        <sz val="14"/>
        <color rgb="FF000000"/>
      </rPr>
      <t xml:space="preserve">Sản phẩm đầu ra: </t>
    </r>
    <r>
      <rPr>
        <b val="false"/>
        <i val="false"/>
        <strike val="false"/>
        <sz val="14"/>
        <color rgb="FF000000"/>
      </rPr>
      <t xml:space="preserve">Kho lưu trữ mã nguồn chuẩn doanh nghiệp trên GitHub.</t>
    </r>
  </si>
  <si>
    <t xml:space="preserve">IT-106</t>
  </si>
  <si>
    <t/>
    <r>
      <rPr>
        <b val="true"/>
        <i val="false"/>
        <strike val="false"/>
        <sz val="14"/>
        <color rgb="FF000000"/>
      </rPr>
      <t xml:space="preserve">Web Application Development
</t>
    </r>
    <r>
      <rPr>
        <b val="false"/>
        <i val="false"/>
        <strike val="false"/>
        <sz val="14"/>
        <color rgb="FF000000"/>
      </rPr>
      <t xml:space="preserve">(Phát triển ứng dụng web)</t>
    </r>
  </si>
  <si>
    <t/>
    <r>
      <rPr>
        <b val="true"/>
        <i val="false"/>
        <strike val="false"/>
        <sz val="14"/>
        <color rgb="FF000000"/>
      </rPr>
      <t>CLO1</t>
    </r>
    <r>
      <rPr>
        <b val="false"/>
        <i val="false"/>
        <strike val="false"/>
        <sz val="14"/>
        <color rgb="FF000000"/>
      </rPr>
      <t xml:space="preserve">: Lập trình được các tương tác Web cơ bản và kết nối API bằng Javascript thuần.
</t>
    </r>
    <r>
      <rPr>
        <b val="true"/>
        <i val="false"/>
        <strike val="false"/>
        <sz val="14"/>
        <color rgb="FF000000"/>
      </rPr>
      <t>CLO2</t>
    </r>
    <r>
      <rPr>
        <b val="false"/>
        <i val="false"/>
        <strike val="false"/>
        <sz val="14"/>
        <color rgb="FF000000"/>
      </rPr>
      <t xml:space="preserve">: Phân tích và xử lý dữ liệu JSON từ hệ thống bên ngoài.
</t>
    </r>
    <r>
      <rPr>
        <b val="true"/>
        <i val="false"/>
        <strike val="false"/>
        <sz val="14"/>
        <color rgb="FF000000"/>
      </rPr>
      <t>CLO3</t>
    </r>
    <r>
      <rPr>
        <b val="false"/>
        <i val="false"/>
        <strike val="false"/>
        <sz val="14"/>
        <color rgb="FF000000"/>
      </rPr>
      <t xml:space="preserve">: Vận dụng kỹ năng AI Prompting để sinh logic phức tạp, tìm lỗi (Debugging) và tối ưu hóa mã nguồn JS.</t>
    </r>
  </si>
  <si>
    <t/>
    <r>
      <rPr>
        <b val="false"/>
        <i val="false"/>
        <strike val="false"/>
        <sz val="14"/>
        <color rgb="FF000000"/>
      </rPr>
      <t xml:space="preserve">JS Variables, Loops, ES6 (Arrow func, Destructuring), DOM Manipulation, Event Listeners, Promises/Async-Await.
</t>
    </r>
    <r>
      <rPr>
        <b val="true"/>
        <i val="true"/>
        <strike val="false"/>
        <sz val="14"/>
        <color rgb="FF000000"/>
      </rPr>
      <t xml:space="preserve">Tính kế thừa:</t>
    </r>
    <r>
      <rPr>
        <b val="false"/>
        <i val="true"/>
        <strike val="false"/>
        <sz val="14"/>
        <color rgb="FF000000"/>
      </rPr>
      <t xml:space="preserve"> Kế thừa toàn bộ giao diện của dự án cá nhân được triển khai trong module IT-104 để tiếp tục phát triển tính năng
</t>
    </r>
    <r>
      <rPr>
        <b val="true"/>
        <i val="false"/>
        <strike val="false"/>
        <sz val="14"/>
        <color rgb="FF000000"/>
      </rPr>
      <t xml:space="preserve">Sản phẩm đầu ra</t>
    </r>
    <r>
      <rPr>
        <b val="false"/>
        <i val="false"/>
        <strike val="false"/>
        <sz val="14"/>
        <color rgb="FF000000"/>
      </rPr>
      <t xml:space="preserve">: Website tương tác có logic frontend xử lý mượt mà.</t>
    </r>
  </si>
  <si>
    <t xml:space="preserve">Project</t>
  </si>
  <si>
    <t xml:space="preserve">Tổng học kỳ I - Kiến thức nền tảng</t>
  </si>
  <si>
    <t/>
    <r>
      <rPr>
        <b val="false"/>
        <i val="false"/>
        <strike val="false"/>
        <sz val="14"/>
        <color rgb="FFFFFFFF"/>
      </rPr>
      <t xml:space="preserve">Sinh viên làm chủ môi trường máy tính, tư duy tự học qua AI, tự tay lập trình được giao diện Web tĩnh và tương tác chuẩn W3C, có khả năng quản lý source code và làm việc nhóm bằng Git.
</t>
    </r>
    <r>
      <rPr>
        <b val="true"/>
        <i val="false"/>
        <strike val="false"/>
        <sz val="14"/>
        <color rgb="FFFFFFFF"/>
      </rPr>
      <t xml:space="preserve">Vị trí đầu ra (Job Role): </t>
    </r>
    <r>
      <rPr>
        <b val="false"/>
        <i val="false"/>
        <strike val="false"/>
        <sz val="14"/>
        <color rgb="FFFFFFFF"/>
      </rPr>
      <t xml:space="preserve">Fresher Frontend / UI Developer.
</t>
    </r>
  </si>
  <si>
    <t xml:space="preserve">PTIT - KS26 - Khung chương trình kiến thức nền tảng - Kỳ học II</t>
  </si>
  <si>
    <t/>
    <r>
      <rPr>
        <b val="true"/>
        <i val="false"/>
        <strike val="false"/>
        <sz val="24"/>
        <color rgb="FF000000"/>
      </rPr>
      <t xml:space="preserve">PLO - Program Learning Outcome
</t>
    </r>
    <r>
      <rPr>
        <b val="false"/>
        <i val="false"/>
        <strike val="false"/>
        <sz val="24"/>
        <color rgb="FF000000"/>
      </rPr>
      <t xml:space="preserve">(Chuẩn đầu ra - Học kỳ II)</t>
    </r>
  </si>
  <si>
    <t/>
    <r>
      <rPr>
        <b val="true"/>
        <i val="false"/>
        <strike val="false"/>
        <sz val="14"/>
        <color rgb="FF000000"/>
      </rPr>
      <t xml:space="preserve">PLO 1: </t>
    </r>
    <r>
      <rPr>
        <b val="false"/>
        <i val="false"/>
        <strike val="false"/>
        <sz val="14"/>
        <color rgb="FF000000"/>
      </rPr>
      <t xml:space="preserve">Thiết kế, quản trị cơ sở dữ liệu quan hệ (SQL) đảm bảo tính toàn vẹn dữ liệu, đồng thời biết khai thác các dịch vụ Backend-as-a-Service (BaaS) để khởi tạo hạ tầng lưu trữ tốc độ cao.
</t>
    </r>
    <r>
      <rPr>
        <b val="true"/>
        <i val="false"/>
        <strike val="false"/>
        <sz val="14"/>
        <color rgb="FF000000"/>
      </rPr>
      <t xml:space="preserve">PLO 2: </t>
    </r>
    <r>
      <rPr>
        <b val="false"/>
        <i val="false"/>
        <strike val="false"/>
        <sz val="14"/>
        <color rgb="FF000000"/>
      </rPr>
      <t xml:space="preserve">Vận dụng thành thạo ngôn ngữ Python và tư duy Lập trình hướng đối tượng (OOP) để xây dựng mã nguồn logic chuẩn mực, có tính tái sử dụng và dễ bảo trì.
</t>
    </r>
    <r>
      <rPr>
        <b val="true"/>
        <i val="false"/>
        <strike val="false"/>
        <sz val="14"/>
        <color rgb="FF000000"/>
      </rPr>
      <t xml:space="preserve">PLO 3: </t>
    </r>
    <r>
      <rPr>
        <b val="false"/>
        <i val="false"/>
        <strike val="false"/>
        <sz val="14"/>
        <color rgb="FF000000"/>
      </rPr>
      <t xml:space="preserve">Xây dựng hoàn chỉnh ứng dụng Web phía Server (Backend) bằng FastAPI, thiết kế luồng RESTful API và triển khai các cơ chế xác thực bảo mật (Authentication/Authorization) chuẩn doanh nghiệp.
</t>
    </r>
    <r>
      <rPr>
        <b val="true"/>
        <i val="false"/>
        <strike val="false"/>
        <sz val="14"/>
        <color rgb="FF000000"/>
      </rPr>
      <t xml:space="preserve">PLO 4:</t>
    </r>
    <r>
      <rPr>
        <b val="false"/>
        <i val="false"/>
        <strike val="false"/>
        <sz val="14"/>
        <color rgb="FF000000"/>
      </rPr>
      <t xml:space="preserve"> Sử dụng các công cụ AI IDE (Cursor/Windsurf) theo phương pháp "Lập trình cặp" (Pair-Programming) để hỗ trợ đọc hiểu luồng code, sinh các đoạn mã lặp lại (Boilerplate), tái cấu trúc (Refactor) và gỡ lỗi (Debug) hệ thống.
</t>
    </r>
    <r>
      <rPr>
        <b val="true"/>
        <i val="false"/>
        <strike val="false"/>
        <sz val="14"/>
        <color rgb="FF000000"/>
      </rPr>
      <t xml:space="preserve">PLO 5:</t>
    </r>
    <r>
      <rPr>
        <b val="false"/>
        <i val="false"/>
        <strike val="false"/>
        <sz val="14"/>
        <color rgb="FF000000"/>
      </rPr>
      <t xml:space="preserve"> Khảo sát, phân tích yêu cầu người dùng thực tế bằng các framework chuẩn (The Mom Test, JTBD) và sử dụng AI để thiết kế kiến trúc hệ thống thông tin.
</t>
    </r>
    <r>
      <rPr>
        <b val="true"/>
        <i val="false"/>
        <strike val="false"/>
        <sz val="14"/>
        <color rgb="FF000000"/>
      </rPr>
      <t xml:space="preserve">PLO 6: </t>
    </r>
    <r>
      <rPr>
        <b val="false"/>
        <i val="false"/>
        <strike val="false"/>
        <sz val="14"/>
        <color rgb="FF000000"/>
      </rPr>
      <t xml:space="preserve">Hoàn thành dự án Web Fullstack thực tế (kết hợp giao diện Kỳ I và Backend Kỳ II) theo quy trình Agile/Scrum và chuẩn quản lý mã nguồn doanh nghiệp.
</t>
    </r>
  </si>
  <si>
    <t xml:space="preserve">STT</t>
  </si>
  <si>
    <t xml:space="preserve">Mã môn</t>
  </si>
  <si>
    <t xml:space="preserve">Học kỳ</t>
  </si>
  <si>
    <t xml:space="preserve">Môn học</t>
  </si>
  <si>
    <t xml:space="preserve">Đầu ra môn học</t>
  </si>
  <si>
    <t xml:space="preserve">Nội dung chính</t>
  </si>
  <si>
    <t xml:space="preserve">Hình thức khảo thí</t>
  </si>
  <si>
    <t xml:space="preserve">Lý thuyết</t>
  </si>
  <si>
    <t xml:space="preserve">Thực hành</t>
  </si>
  <si>
    <t xml:space="preserve">Mini Project</t>
  </si>
  <si>
    <t xml:space="preserve">Thi
(Exam)</t>
  </si>
  <si>
    <t xml:space="preserve">Dự án 
(Project)</t>
  </si>
  <si>
    <t xml:space="preserve">Tổng số tiết 
(2h/tiết)</t>
  </si>
  <si>
    <t xml:space="preserve">Tổng thời gian (Giờ)</t>
  </si>
  <si>
    <t xml:space="preserve">Offline</t>
  </si>
  <si>
    <t xml:space="preserve">Online</t>
  </si>
  <si>
    <t xml:space="preserve">IT-201</t>
  </si>
  <si>
    <t xml:space="preserve">SEM II</t>
  </si>
  <si>
    <t/>
    <r>
      <rPr>
        <b val="true"/>
        <i val="false"/>
        <strike val="false"/>
        <sz val="14"/>
        <color rgb="FF000000"/>
      </rPr>
      <t xml:space="preserve">Business Analysis &amp; Information System Design
</t>
    </r>
    <r>
      <rPr>
        <b val="false"/>
        <i val="false"/>
        <strike val="false"/>
        <sz val="14"/>
        <color rgb="FF000000"/>
      </rPr>
      <t xml:space="preserve">(Phân tích &amp; Thiết kế nghiệp vụ hệ thống thông tin)</t>
    </r>
  </si>
  <si>
    <t/>
    <r>
      <rPr>
        <b val="true"/>
        <i val="false"/>
        <strike val="false"/>
        <sz val="14"/>
        <color rgb="FF000000"/>
      </rPr>
      <t xml:space="preserve">CLO1: </t>
    </r>
    <r>
      <rPr>
        <b val="false"/>
        <i val="false"/>
        <strike val="false"/>
        <sz val="14"/>
        <color rgb="FF000000"/>
      </rPr>
      <t xml:space="preserve">Thực hiện khảo sát và xác thực nhu cầu người dùng thực tế bằng các phương pháp chuẩn ngành (The Mom Test, JTBD).
</t>
    </r>
    <r>
      <rPr>
        <b val="true"/>
        <i val="false"/>
        <strike val="false"/>
        <sz val="14"/>
        <color rgb="FF000000"/>
      </rPr>
      <t xml:space="preserve">CLO2: </t>
    </r>
    <r>
      <rPr>
        <b val="false"/>
        <i val="false"/>
        <strike val="false"/>
        <sz val="14"/>
        <color rgb="FF000000"/>
      </rPr>
      <t xml:space="preserve">Phân rã yêu cầu khách hàng thành các tính năng và tài liệu đặc tả kỹ thuật.
</t>
    </r>
    <r>
      <rPr>
        <b val="true"/>
        <i val="false"/>
        <strike val="false"/>
        <sz val="14"/>
        <color rgb="FF000000"/>
      </rPr>
      <t xml:space="preserve">CLO3: </t>
    </r>
    <r>
      <rPr>
        <b val="false"/>
        <i val="false"/>
        <strike val="false"/>
        <sz val="14"/>
        <color rgb="FF000000"/>
      </rPr>
      <t xml:space="preserve">Vận dụng công cụ AI để phác thảo biểu đồ kiến trúc hệ thống và quy trình nghiệp vụ phần mềm.
</t>
    </r>
  </si>
  <si>
    <t/>
    <r>
      <rPr>
        <b val="false"/>
        <i val="false"/>
        <strike val="false"/>
        <sz val="14"/>
        <color rgb="FF000000"/>
      </rPr>
      <t xml:space="preserve">JTBD Framework, User Stories, Use Case/Activity Diagram, Scrum Roles (PO, SM, Dev), Agile Board, Jira.
</t>
    </r>
    <r>
      <rPr>
        <b val="true"/>
        <i val="true"/>
        <strike val="false"/>
        <sz val="14"/>
        <color rgb="FF000000"/>
      </rPr>
      <t xml:space="preserve">Tính kế thừa:</t>
    </r>
    <r>
      <rPr>
        <b val="false"/>
        <i val="true"/>
        <strike val="false"/>
        <sz val="14"/>
        <color rgb="FF000000"/>
      </rPr>
      <t xml:space="preserve"> Kế thừa trực tiếp các dự án từ kỳ I để tiến hành phân tích, phân rã các chức năng trong dự án thành tài liệu nghiệp vụ.
</t>
    </r>
    <r>
      <rPr>
        <b val="true"/>
        <i val="false"/>
        <strike val="false"/>
        <sz val="14"/>
        <color rgb="FF000000"/>
      </rPr>
      <t xml:space="preserve">Sản phẩm đầu ra:</t>
    </r>
    <r>
      <rPr>
        <b val="false"/>
        <i val="false"/>
        <strike val="false"/>
        <sz val="14"/>
        <color rgb="FF000000"/>
      </rPr>
      <t xml:space="preserve"> Tài liệu Đặc tả (SRS) &amp; Bảng Kanban dự án chạy thực tế.</t>
    </r>
  </si>
  <si>
    <t xml:space="preserve">Thi thực hành</t>
  </si>
  <si>
    <t xml:space="preserve">IT-202</t>
  </si>
  <si>
    <t/>
    <r>
      <rPr>
        <b val="true"/>
        <i val="false"/>
        <strike val="false"/>
        <sz val="14"/>
        <color rgb="FF000000"/>
      </rPr>
      <t xml:space="preserve">Database
</t>
    </r>
    <r>
      <rPr>
        <b val="false"/>
        <i val="false"/>
        <strike val="false"/>
        <sz val="14"/>
        <color rgb="FF000000"/>
      </rPr>
      <t xml:space="preserve">(Cơ sở dữ liệu)</t>
    </r>
  </si>
  <si>
    <t/>
    <r>
      <rPr>
        <b val="true"/>
        <i val="false"/>
        <strike val="false"/>
        <sz val="14"/>
        <color rgb="FF000000"/>
      </rPr>
      <t xml:space="preserve">CLO1: </t>
    </r>
    <r>
      <rPr>
        <b val="false"/>
        <i val="false"/>
        <strike val="false"/>
        <sz val="14"/>
        <color rgb="FF000000"/>
      </rPr>
      <t xml:space="preserve">Thiết kế và chuẩn hóa được lược đồ cơ sở dữ liệu quan hệ (Relational Schema) cho các bài toán thực tế.
</t>
    </r>
    <r>
      <rPr>
        <b val="true"/>
        <i val="false"/>
        <strike val="false"/>
        <sz val="14"/>
        <color rgb="FF000000"/>
      </rPr>
      <t xml:space="preserve">CLO2: </t>
    </r>
    <r>
      <rPr>
        <b val="false"/>
        <i val="false"/>
        <strike val="false"/>
        <sz val="14"/>
        <color rgb="FF000000"/>
      </rPr>
      <t xml:space="preserve">Truy vấn và thao tác dữ liệu thành thạo thông qua ngôn ngữ cấu trúc SQL.
</t>
    </r>
    <r>
      <rPr>
        <b val="true"/>
        <i val="false"/>
        <strike val="false"/>
        <sz val="14"/>
        <color rgb="FF000000"/>
      </rPr>
      <t>CLO3</t>
    </r>
    <r>
      <rPr>
        <b val="false"/>
        <i val="false"/>
        <strike val="false"/>
        <sz val="14"/>
        <color rgb="FF000000"/>
      </rPr>
      <t xml:space="preserve">: Thành thạo việc sử dụng Hệ quản trị CSDL </t>
    </r>
    <r>
      <rPr>
        <b val="true"/>
        <i val="false"/>
        <strike val="false"/>
        <sz val="14"/>
        <color rgb="FF000000"/>
      </rPr>
      <t xml:space="preserve">PostgreSQL
CLO4: </t>
    </r>
    <r>
      <rPr>
        <b val="false"/>
        <i val="false"/>
        <strike val="false"/>
        <sz val="14"/>
        <color rgb="FF000000"/>
      </rPr>
      <t xml:space="preserve">Ứng dụng các dịch vụ BaaS (Superbase/Firebase) để thiết lập Backend và Database với tốc độ cao.</t>
    </r>
  </si>
  <si>
    <t/>
    <r>
      <rPr>
        <b val="false"/>
        <i val="false"/>
        <strike val="false"/>
        <sz val="14"/>
        <color rgb="FF000000"/>
      </rPr>
      <t xml:space="preserve">Relational Database concepts, ERD Design, SQL Data Types, Foreign Keys, </t>
    </r>
    <r>
      <rPr>
        <b val="true"/>
        <i val="false"/>
        <strike val="false"/>
        <sz val="14"/>
        <color rgb="FF000000"/>
      </rPr>
      <t xml:space="preserve">Supabase BaaS.
</t>
    </r>
    <r>
      <rPr>
        <b val="true"/>
        <i val="true"/>
        <strike val="false"/>
        <sz val="14"/>
        <color rgb="FF000000"/>
      </rPr>
      <t xml:space="preserve">Tính kế thừa:</t>
    </r>
    <r>
      <rPr>
        <b val="false"/>
        <i val="true"/>
        <strike val="false"/>
        <sz val="14"/>
        <color rgb="FF000000"/>
      </rPr>
      <t xml:space="preserve"> Kế thừa trực tiếp các tài liệu SRS đặc tả từ môn (IT-201), phát hiện các thực thể cần lưu trữ để thiết kế các bảng Database tương ứng.
</t>
    </r>
    <r>
      <rPr>
        <b val="true"/>
        <i val="false"/>
        <strike val="false"/>
        <sz val="14"/>
        <color rgb="FF000000"/>
      </rPr>
      <t xml:space="preserve">Sản phẩm đầu ra:</t>
    </r>
    <r>
      <rPr>
        <b val="false"/>
        <i val="false"/>
        <strike val="false"/>
        <sz val="14"/>
        <color rgb="FF000000"/>
      </rPr>
      <t xml:space="preserve"> Lược đồ Database PostgreSQL hoàn chỉnh</t>
    </r>
  </si>
  <si>
    <t xml:space="preserve">IT-203</t>
  </si>
  <si>
    <t/>
    <r>
      <rPr>
        <b val="true"/>
        <i val="false"/>
        <strike val="false"/>
        <sz val="14"/>
        <color rgb="FF000000"/>
      </rPr>
      <t xml:space="preserve">Python Programming
</t>
    </r>
    <r>
      <rPr>
        <b val="false"/>
        <i val="false"/>
        <strike val="false"/>
        <sz val="14"/>
        <color rgb="FF000000"/>
      </rPr>
      <t xml:space="preserve">(Lập trình Python)</t>
    </r>
  </si>
  <si>
    <t/>
    <r>
      <rPr>
        <b val="true"/>
        <i val="false"/>
        <strike val="false"/>
        <sz val="14"/>
        <color rgb="FF000000"/>
      </rPr>
      <t xml:space="preserve">CLO1: </t>
    </r>
    <r>
      <rPr>
        <b val="false"/>
        <i val="false"/>
        <strike val="false"/>
        <sz val="14"/>
        <color rgb="FF000000"/>
      </rPr>
      <t xml:space="preserve">Nắm vững cú pháp, cách xử lý ngoại lệ và quản lý môi trường dự án Python chuyên nghiệp.
</t>
    </r>
    <r>
      <rPr>
        <b val="true"/>
        <i val="false"/>
        <strike val="false"/>
        <sz val="14"/>
        <color rgb="FF000000"/>
      </rPr>
      <t xml:space="preserve">CLO2: </t>
    </r>
    <r>
      <rPr>
        <b val="false"/>
        <i val="false"/>
        <strike val="false"/>
        <sz val="14"/>
        <color rgb="FF000000"/>
      </rPr>
      <t xml:space="preserve">Vận dụng thành thạo Tư duy lập trình hướng đối tượng (OOP) để tổ chức mã nguồn có tính tái sử dụng cao.</t>
    </r>
  </si>
  <si>
    <t/>
    <r>
      <rPr>
        <b val="false"/>
        <i val="false"/>
        <strike val="false"/>
        <sz val="14"/>
        <color rgb="FF000000"/>
      </rPr>
      <t xml:space="preserve">Python Syntax, Collections (List, Dict), Try-Except, Classes, Inheritance, Polymorphism, Virtual Environment.
</t>
    </r>
    <r>
      <rPr>
        <b val="true"/>
        <i val="true"/>
        <strike val="false"/>
        <sz val="14"/>
        <color rgb="FF000000"/>
      </rPr>
      <t xml:space="preserve">Tính kế thừa:</t>
    </r>
    <r>
      <rPr>
        <b val="false"/>
        <i val="true"/>
        <strike val="false"/>
        <sz val="14"/>
        <color rgb="FF000000"/>
      </rPr>
      <t xml:space="preserve"> Dùng Python để lập trình giải quyết các logic lõi (Core Business Logic) đã được định nghĩa trong tài liệu SRS kế thừa trực tiếp từ môn học (IT-201).
</t>
    </r>
    <r>
      <rPr>
        <b val="true"/>
        <i val="false"/>
        <strike val="false"/>
        <sz val="14"/>
        <color rgb="FF000000"/>
      </rPr>
      <t xml:space="preserve">Sản phẩm đầu ra:</t>
    </r>
    <r>
      <rPr>
        <b val="false"/>
        <i val="false"/>
        <strike val="false"/>
        <sz val="14"/>
        <color rgb="FF000000"/>
      </rPr>
      <t xml:space="preserve"> Ứng dụng console
</t>
    </r>
  </si>
  <si>
    <t xml:space="preserve">IT-204</t>
  </si>
  <si>
    <t/>
    <r>
      <rPr>
        <b val="true"/>
        <i val="false"/>
        <strike val="false"/>
        <sz val="14"/>
        <color rgb="FF000000"/>
      </rPr>
      <t xml:space="preserve">Back-end Development
</t>
    </r>
    <r>
      <rPr>
        <b val="false"/>
        <i val="false"/>
        <strike val="false"/>
        <sz val="14"/>
        <color rgb="FF000000"/>
      </rPr>
      <t xml:space="preserve">(Lập trình Back-end với FastAPI)</t>
    </r>
  </si>
  <si>
    <t/>
    <r>
      <rPr>
        <b val="true"/>
        <i val="false"/>
        <strike val="false"/>
        <sz val="14"/>
        <color rgb="FF000000"/>
      </rPr>
      <t xml:space="preserve">CLO1: </t>
    </r>
    <r>
      <rPr>
        <b val="false"/>
        <i val="false"/>
        <strike val="false"/>
        <sz val="14"/>
        <color rgb="FF000000"/>
      </rPr>
      <t xml:space="preserve">Thiết kế và lập trình được các RESTful API chuẩn mực đáp ứng nhu cầu giao tiếp của ứng dụng Frontend.
</t>
    </r>
    <r>
      <rPr>
        <b val="true"/>
        <i val="false"/>
        <strike val="false"/>
        <sz val="14"/>
        <color rgb="FF000000"/>
      </rPr>
      <t xml:space="preserve">CLO2: </t>
    </r>
    <r>
      <rPr>
        <b val="false"/>
        <i val="false"/>
        <strike val="false"/>
        <sz val="14"/>
        <color rgb="FF000000"/>
      </rPr>
      <t xml:space="preserve">Triển khai luồng xác thực (Authentication) và phân quyền (Authorization) an toàn cho người dùng.
</t>
    </r>
    <r>
      <rPr>
        <b val="true"/>
        <i val="false"/>
        <strike val="false"/>
        <sz val="14"/>
        <color rgb="FF000000"/>
      </rPr>
      <t xml:space="preserve">CLO3: </t>
    </r>
    <r>
      <rPr>
        <b val="false"/>
        <i val="false"/>
        <strike val="false"/>
        <sz val="14"/>
        <color rgb="FF000000"/>
      </rPr>
      <t xml:space="preserve">Tích hợp thành công công cụ ORM để thao tác an toàn với Cơ sở dữ liệu.</t>
    </r>
  </si>
  <si>
    <t/>
    <r>
      <rPr>
        <b val="false"/>
        <i val="false"/>
        <strike val="false"/>
        <sz val="14"/>
        <color rgb="FF000000"/>
      </rPr>
      <t xml:space="preserve">FastAPI Routing, Pydantic Models, SQLAlchemy ORM, JWT Security, CORS, Dependency Injection.
</t>
    </r>
    <r>
      <rPr>
        <b val="true"/>
        <i val="true"/>
        <strike val="false"/>
        <sz val="14"/>
        <color rgb="FF000000"/>
      </rPr>
      <t xml:space="preserve">Tính kế thừa:</t>
    </r>
    <r>
      <rPr>
        <b val="false"/>
        <i val="true"/>
        <strike val="false"/>
        <sz val="14"/>
        <color rgb="FF000000"/>
      </rPr>
      <t xml:space="preserve"> Kế thừa toàn bộ kiến thức của các môn học trong kỳ II để tạo ra Backend Server trên nền tảng FastAPI.
</t>
    </r>
    <r>
      <rPr>
        <b val="true"/>
        <i val="false"/>
        <strike val="false"/>
        <sz val="14"/>
        <color rgb="FF000000"/>
      </rPr>
      <t xml:space="preserve">Sản phẩm đầu ra:</t>
    </r>
    <r>
      <rPr>
        <b val="false"/>
        <i val="false"/>
        <strike val="false"/>
        <sz val="14"/>
        <color rgb="FF000000"/>
      </rPr>
      <t xml:space="preserve"> Hệ thống RESTful API Server hoàn chỉnh, xây dựng 1 ứng dụng full stack hoàn chỉnh
</t>
    </r>
  </si>
  <si>
    <t xml:space="preserve">Project</t>
  </si>
  <si>
    <t xml:space="preserve">IT-205</t>
  </si>
  <si>
    <t/>
    <r>
      <rPr>
        <b val="true"/>
        <i val="false"/>
        <strike val="false"/>
        <sz val="14"/>
        <color rgb="FF000000"/>
      </rPr>
      <t xml:space="preserve">AI-assisted Programming
</t>
    </r>
    <r>
      <rPr>
        <b val="false"/>
        <i val="false"/>
        <strike val="false"/>
        <sz val="14"/>
        <color rgb="FF000000"/>
      </rPr>
      <t xml:space="preserve">(Lập trình trong kỷ nguyên AI)</t>
    </r>
  </si>
  <si>
    <t/>
    <r>
      <rPr>
        <b val="true"/>
        <i val="false"/>
        <strike val="false"/>
        <sz val="14"/>
        <color rgb="FF000000"/>
      </rPr>
      <t>CLO1</t>
    </r>
    <r>
      <rPr>
        <b val="false"/>
        <i val="false"/>
        <strike val="false"/>
        <sz val="14"/>
        <color rgb="FF000000"/>
      </rPr>
      <t xml:space="preserve">: Làm chủ các công cụ AI IDE (Cursor/Winsurf) để tăng tốc độ phát triển mã nguồn.
</t>
    </r>
    <r>
      <rPr>
        <b val="true"/>
        <i val="false"/>
        <strike val="false"/>
        <sz val="14"/>
        <color rgb="FF000000"/>
      </rPr>
      <t>CLO2</t>
    </r>
    <r>
      <rPr>
        <b val="false"/>
        <i val="false"/>
        <strike val="false"/>
        <sz val="14"/>
        <color rgb="FF000000"/>
      </rPr>
      <t xml:space="preserve">: Nắm vững cách quản lý ngữ cảnh (Context) như @Files, @Web, .cursorignore.
</t>
    </r>
    <r>
      <rPr>
        <b val="true"/>
        <i val="false"/>
        <strike val="false"/>
        <sz val="14"/>
        <color rgb="FF000000"/>
      </rPr>
      <t>CLO3</t>
    </r>
    <r>
      <rPr>
        <b val="false"/>
        <i val="false"/>
        <strike val="false"/>
        <sz val="14"/>
        <color rgb="FF000000"/>
      </rPr>
      <t xml:space="preserve">: Quy trình Design-to-Code: Dùng AI IDE để biến bản thiết kế Figma hoặc ảnh chụp mock-up thành mã nguồn HTML/CSS
</t>
    </r>
    <r>
      <rPr>
        <b val="true"/>
        <i val="false"/>
        <strike val="false"/>
        <sz val="14"/>
        <color rgb="FF000000"/>
      </rPr>
      <t>CLO4</t>
    </r>
    <r>
      <rPr>
        <b val="false"/>
        <i val="false"/>
        <strike val="false"/>
        <sz val="14"/>
        <color rgb="FF000000"/>
      </rPr>
      <t xml:space="preserve">: Quản lý hiệu quả ngữ cảnh dự án (Context) để AI không sinh code sai lệch.</t>
    </r>
  </si>
  <si>
    <t/>
    <r>
      <rPr>
        <b val="false"/>
        <i val="false"/>
        <strike val="false"/>
        <sz val="14"/>
        <color rgb="FF000000"/>
      </rPr>
      <t xml:space="preserve">Cursor features, Context Caching, Codebase indexing, AI Code Review, Design-to-Code generation.
</t>
    </r>
    <r>
      <rPr>
        <b val="true"/>
        <i val="true"/>
        <strike val="false"/>
        <sz val="14"/>
        <color rgb="FF000000"/>
      </rPr>
      <t xml:space="preserve">Tính kế thừa:</t>
    </r>
    <r>
      <rPr>
        <b val="false"/>
        <i val="true"/>
        <strike val="false"/>
        <sz val="14"/>
        <color rgb="FF000000"/>
      </rPr>
      <t xml:space="preserve"> Kế thừa tư duy code tay (Kỳ 1 + 2) và Tài liệu đặc tả SRS (IT-201) nạp vào AI IDE để AI Coding Assistant hỗ trợ triển khai mã nguồn một cách nhanh chóng, chuẩn hệ thống.
</t>
    </r>
    <r>
      <rPr>
        <b val="true"/>
        <i val="false"/>
        <strike val="false"/>
        <sz val="14"/>
        <color rgb="FF000000"/>
      </rPr>
      <t xml:space="preserve">Sản phẩm đầu ra:</t>
    </r>
    <r>
      <rPr>
        <b val="false"/>
        <i val="false"/>
        <strike val="false"/>
        <sz val="14"/>
        <color rgb="FF000000"/>
      </rPr>
      <t xml:space="preserve"> Quy trình sinh code UI và API trong thời kỳ AI.</t>
    </r>
  </si>
  <si>
    <t xml:space="preserve">IT-206</t>
  </si>
  <si>
    <t/>
    <r>
      <rPr>
        <b val="true"/>
        <i val="false"/>
        <strike val="false"/>
        <sz val="14"/>
        <color rgb="FF000000"/>
      </rPr>
      <t xml:space="preserve">Software Development Life Cycle
</t>
    </r>
    <r>
      <rPr>
        <b val="false"/>
        <i val="false"/>
        <strike val="false"/>
        <sz val="14"/>
        <color rgb="FF000000"/>
      </rPr>
      <t xml:space="preserve">(Quy trình phát triển phần mềm)</t>
    </r>
  </si>
  <si>
    <t/>
    <r>
      <rPr>
        <b val="true"/>
        <i val="false"/>
        <strike val="false"/>
        <sz val="14"/>
        <color rgb="FF000000"/>
      </rPr>
      <t xml:space="preserve">CLO1: </t>
    </r>
    <r>
      <rPr>
        <b val="false"/>
        <i val="false"/>
        <strike val="false"/>
        <sz val="14"/>
        <color rgb="FF000000"/>
      </rPr>
      <t xml:space="preserve">Vận dụng quy trình Agile/Scrum để tổ chức và triển khai công việc nhóm hiệu quả.
</t>
    </r>
    <r>
      <rPr>
        <b val="true"/>
        <i val="false"/>
        <strike val="false"/>
        <sz val="14"/>
        <color rgb="FF000000"/>
      </rPr>
      <t xml:space="preserve">CLO2: </t>
    </r>
    <r>
      <rPr>
        <b val="false"/>
        <i val="false"/>
        <strike val="false"/>
        <sz val="14"/>
        <color rgb="FF000000"/>
      </rPr>
      <t xml:space="preserve">Quản lý tiến độ dự án bằng Kanban và xử lý các vấn đề gộp mã nguồn trên hệ thống quản lý phiên bản.
</t>
    </r>
    <r>
      <rPr>
        <b val="true"/>
        <i val="false"/>
        <strike val="false"/>
        <sz val="14"/>
        <color rgb="FF000000"/>
      </rPr>
      <t xml:space="preserve">CLO3: </t>
    </r>
    <r>
      <rPr>
        <b val="false"/>
        <i val="false"/>
        <strike val="false"/>
        <sz val="14"/>
        <color rgb="FF000000"/>
      </rPr>
      <t xml:space="preserve">Giao tiếp chuyên nghiệp và xử lý xung đột trong môi trường dự án công nghệ.</t>
    </r>
  </si>
  <si>
    <t/>
    <r>
      <rPr>
        <b val="false"/>
        <i val="false"/>
        <strike val="false"/>
        <sz val="14"/>
        <color rgb="FF000000"/>
      </rPr>
      <t xml:space="preserve">Quy trình phát triển phần mềm truyền thống như Spriral, Agile, scrum framework. Quy trình phát triển phần mềm trong thời đại AI.
</t>
    </r>
    <r>
      <rPr>
        <b val="true"/>
        <i val="true"/>
        <strike val="false"/>
        <sz val="14"/>
        <color rgb="FF000000"/>
      </rPr>
      <t xml:space="preserve">Tính kế thừa:</t>
    </r>
    <r>
      <rPr>
        <b val="false"/>
        <i val="true"/>
        <strike val="false"/>
        <sz val="14"/>
        <color rgb="FF000000"/>
      </rPr>
      <t xml:space="preserve"> Kế thừa tư duy phân tích hệ thống, triển khai hệ thống thông tin, quy trình phát triển phần mềm bằng AI từ các môn học trước.
</t>
    </r>
    <r>
      <rPr>
        <b val="true"/>
        <i val="false"/>
        <strike val="false"/>
        <sz val="14"/>
        <color rgb="FF000000"/>
      </rPr>
      <t xml:space="preserve">Sản phẩm đầu ra:</t>
    </r>
    <r>
      <rPr>
        <b val="false"/>
        <i val="false"/>
        <strike val="false"/>
        <sz val="14"/>
        <color rgb="FF000000"/>
      </rPr>
      <t xml:space="preserve"> Dự án fullstack làm việc nhóm</t>
    </r>
  </si>
  <si>
    <t xml:space="preserve">RK-101</t>
  </si>
  <si>
    <t/>
    <r>
      <rPr>
        <b val="true"/>
        <i val="false"/>
        <strike val="false"/>
        <sz val="14"/>
        <color rgb="FF000000"/>
      </rPr>
      <t xml:space="preserve">RK-Lab Internship
</t>
    </r>
    <r>
      <rPr>
        <b val="false"/>
        <i val="false"/>
        <strike val="false"/>
        <sz val="14"/>
        <color rgb="FF000000"/>
      </rPr>
      <t xml:space="preserve">(Thực tập RK-Lab)</t>
    </r>
  </si>
  <si>
    <t/>
    <r>
      <rPr>
        <b val="true"/>
        <i val="false"/>
        <strike val="false"/>
        <sz val="14"/>
        <color rgb="FF000000"/>
      </rPr>
      <t xml:space="preserve">CLO1: </t>
    </r>
    <r>
      <rPr>
        <b val="false"/>
        <i val="false"/>
        <strike val="false"/>
        <sz val="14"/>
        <color rgb="FF000000"/>
      </rPr>
      <t xml:space="preserve">Vận dụng Product Thinking để xây dựng một sản phẩm phần mềm đáp ứng đúng nhu cầu có thật.
</t>
    </r>
    <r>
      <rPr>
        <b val="true"/>
        <i val="false"/>
        <strike val="false"/>
        <sz val="14"/>
        <color rgb="FF000000"/>
      </rPr>
      <t xml:space="preserve">CLO2: </t>
    </r>
    <r>
      <rPr>
        <b val="false"/>
        <i val="false"/>
        <strike val="false"/>
        <sz val="14"/>
        <color rgb="FF000000"/>
      </rPr>
      <t xml:space="preserve">Tích hợp thành công giao diện người dùng và hệ thống xử lý máy chủ thành một kiến trúc Web Fullstack toàn vẹn.
</t>
    </r>
    <r>
      <rPr>
        <b val="true"/>
        <i val="false"/>
        <strike val="false"/>
        <sz val="14"/>
        <color rgb="FF000000"/>
      </rPr>
      <t xml:space="preserve">CLO3: </t>
    </r>
    <r>
      <rPr>
        <b val="false"/>
        <i val="false"/>
        <strike val="false"/>
        <sz val="14"/>
        <color rgb="FF000000"/>
      </rPr>
      <t xml:space="preserve">Quản lý dự án chuẩn quy trình Agile và thuyết trình (Pitching) bảo vệ sản phẩm trước hội đồng.</t>
    </r>
  </si>
  <si>
    <t xml:space="preserve">Tổng học kỳ II - Kiến thức nền tảng</t>
  </si>
  <si>
    <t/>
    <r>
      <rPr>
        <b val="false"/>
        <i val="false"/>
        <strike val="false"/>
        <sz val="14"/>
        <color rgb="FFFFFFFF"/>
      </rPr>
      <t xml:space="preserve">Sinh viên có năng lực đóng vai BA phân tích dự án, làm chủ hệ quản trị CSDL quan hệ, sử dụng AI IDE tăng tốc code Python/FastAPI, và hoàn thiện 1 ứng dụng Web Fullstack theo chuẩn Agile.
</t>
    </r>
    <r>
      <rPr>
        <b val="true"/>
        <i val="false"/>
        <strike val="false"/>
        <sz val="14"/>
        <color rgb="FFFFFFFF"/>
      </rPr>
      <t xml:space="preserve">Vị trí đầu ra (Job Role): </t>
    </r>
    <r>
      <rPr>
        <b val="false"/>
        <i val="false"/>
        <strike val="false"/>
        <sz val="14"/>
        <color rgb="FFFFFFFF"/>
      </rPr>
      <t xml:space="preserve">Junior Fullstack Developer / AI Coder.</t>
    </r>
  </si>
  <si>
    <t xml:space="preserve">PTIT - KS26 - Khung chương trình kiến thức chuyên ngành - Kỳ học III</t>
  </si>
  <si>
    <t/>
    <r>
      <rPr>
        <b val="true"/>
        <i val="false"/>
        <strike val="false"/>
        <sz val="24"/>
        <color rgb="FF000000"/>
      </rPr>
      <t xml:space="preserve">PLO - Program Learning Outcome
</t>
    </r>
    <r>
      <rPr>
        <b val="false"/>
        <i val="false"/>
        <strike val="false"/>
        <sz val="24"/>
        <color rgb="FF000000"/>
      </rPr>
      <t xml:space="preserve">(Chuẩn đầu ra - Học kỳ III)</t>
    </r>
  </si>
  <si>
    <t/>
    <r>
      <rPr>
        <b val="true"/>
        <i val="false"/>
        <strike val="false"/>
        <sz val="14"/>
        <color rgb="FF000000"/>
      </rPr>
      <t xml:space="preserve">PLO 1: </t>
    </r>
    <r>
      <rPr>
        <b val="false"/>
        <i val="false"/>
        <strike val="false"/>
        <sz val="14"/>
        <color rgb="FF000000"/>
      </rPr>
      <t xml:space="preserve">Vận dụng nền tảng Toán học (Đại số tuyến tính, Xác suất thống kê) và đánh giá độ phức tạp thuật toán để phân tích cơ chế xử lý dữ liệu của mô hình Trí tuệ nhân tạo.
</t>
    </r>
    <r>
      <rPr>
        <b val="true"/>
        <i val="false"/>
        <strike val="false"/>
        <sz val="14"/>
        <color rgb="FF000000"/>
      </rPr>
      <t xml:space="preserve">PLO 2:</t>
    </r>
    <r>
      <rPr>
        <b val="false"/>
        <i val="false"/>
        <strike val="false"/>
        <sz val="14"/>
        <color rgb="FF000000"/>
      </rPr>
      <t xml:space="preserve"> Triển khai các mô hình Học máy truyền thống và khai thác hệ sinh thái mã nguồn mở (Hugging Face) để tích hợp các tính năng phân tích dữ liệu cục bộ, đảm bảo tính bảo mật.
</t>
    </r>
    <r>
      <rPr>
        <b val="true"/>
        <i val="false"/>
        <strike val="false"/>
        <sz val="14"/>
        <color rgb="FF000000"/>
      </rPr>
      <t xml:space="preserve">PLO 3:</t>
    </r>
    <r>
      <rPr>
        <b val="false"/>
        <i val="false"/>
        <strike val="false"/>
        <sz val="14"/>
        <color rgb="FF000000"/>
      </rPr>
      <t xml:space="preserve"> Thiết lập và quản trị Cơ sở dữ liệu Vector (pgvector), kết nối với các framework như LangChain để xây dựng kiến trúc Truy xuất thế hệ tăng cường (RAG) từ dữ liệu phi cấu trúc.
</t>
    </r>
    <r>
      <rPr>
        <b val="true"/>
        <i val="false"/>
        <strike val="false"/>
        <sz val="14"/>
        <color rgb="FF000000"/>
      </rPr>
      <t xml:space="preserve">PLO 4: </t>
    </r>
    <r>
      <rPr>
        <b val="false"/>
        <i val="false"/>
        <strike val="false"/>
        <sz val="14"/>
        <color rgb="FF000000"/>
      </rPr>
      <t xml:space="preserve">Vận dụng thành thạo các kỹ thuật Prompt Engineering bậc cao và AI IDE để tự động hóa quy trình gọi API của các LLMs, viết kịch bản kiểm thử (Unit Test) và tinh chỉnh mã nguồn logic.
</t>
    </r>
    <r>
      <rPr>
        <b val="true"/>
        <i val="false"/>
        <strike val="false"/>
        <sz val="14"/>
        <color rgb="FF000000"/>
      </rPr>
      <t xml:space="preserve">PLO 5: </t>
    </r>
    <r>
      <rPr>
        <b val="false"/>
        <i val="false"/>
        <strike val="false"/>
        <sz val="14"/>
        <color rgb="FF000000"/>
      </rPr>
      <t xml:space="preserve">Phân tích yêu cầu nghiệp vụ và hiện thực hóa thành công dự án "Trợ lý Trí tuệ nhân tạo nội bộ" (Web Fullstack tích hợp RAG), đáp ứng nhu cầu tra cứu và hỏi đáp chính xác dựa trên tài liệu doanh nghiệp.</t>
    </r>
  </si>
  <si>
    <t xml:space="preserve">STT</t>
  </si>
  <si>
    <t xml:space="preserve">Mã môn</t>
  </si>
  <si>
    <t xml:space="preserve">Học kỳ</t>
  </si>
  <si>
    <t xml:space="preserve">Môn học</t>
  </si>
  <si>
    <t xml:space="preserve">Đầu ra môn học</t>
  </si>
  <si>
    <t xml:space="preserve">Nội dung chính</t>
  </si>
  <si>
    <t xml:space="preserve">Hình thức khảo thí</t>
  </si>
  <si>
    <t xml:space="preserve">Lý thuyết</t>
  </si>
  <si>
    <t xml:space="preserve">Thực hành</t>
  </si>
  <si>
    <t xml:space="preserve">Mini Project</t>
  </si>
  <si>
    <t xml:space="preserve">Thi
(Exam)</t>
  </si>
  <si>
    <t xml:space="preserve">Dự án 
(Project)</t>
  </si>
  <si>
    <t xml:space="preserve">Tổng số tiết 
(2h/tiết)</t>
  </si>
  <si>
    <t xml:space="preserve">Tổng thời gian (Giờ)</t>
  </si>
  <si>
    <t xml:space="preserve">Offline</t>
  </si>
  <si>
    <t xml:space="preserve">Online</t>
  </si>
  <si>
    <t xml:space="preserve">IT-301</t>
  </si>
  <si>
    <t xml:space="preserve">SEM III</t>
  </si>
  <si>
    <t/>
    <r>
      <rPr>
        <b val="true"/>
        <i val="false"/>
        <strike val="false"/>
        <sz val="14"/>
        <color rgb="FF000000"/>
      </rPr>
      <t xml:space="preserve">Applied Mathematics for AI
</t>
    </r>
    <r>
      <rPr>
        <b val="false"/>
        <i val="false"/>
        <strike val="false"/>
        <sz val="14"/>
        <color rgb="FF000000"/>
      </rPr>
      <t xml:space="preserve">(Toán ứng dụng cho AI)</t>
    </r>
  </si>
  <si>
    <t/>
    <r>
      <rPr>
        <b val="true"/>
        <i val="false"/>
        <strike val="false"/>
        <sz val="14"/>
        <color rgb="FF000000"/>
      </rPr>
      <t>CLO1</t>
    </r>
    <r>
      <rPr>
        <b val="false"/>
        <i val="false"/>
        <strike val="false"/>
        <sz val="14"/>
        <color rgb="FF000000"/>
      </rPr>
      <t xml:space="preserve">: Trình bày được bản chất Toán học đằng sau các thuật toán học máy và tìm kiếm Vector.
</t>
    </r>
    <r>
      <rPr>
        <b val="true"/>
        <i val="false"/>
        <strike val="false"/>
        <sz val="14"/>
        <color rgb="FF000000"/>
      </rPr>
      <t>CLO2</t>
    </r>
    <r>
      <rPr>
        <b val="false"/>
        <i val="false"/>
        <strike val="false"/>
        <sz val="14"/>
        <color rgb="FF000000"/>
      </rPr>
      <t xml:space="preserve">: Ứng dụng thư viện Python (Numpy, Pandas) để làm sạch, biến đổi và phân tích tập dữ liệu thô.
</t>
    </r>
    <r>
      <rPr>
        <b val="true"/>
        <i val="false"/>
        <strike val="false"/>
        <sz val="14"/>
        <color rgb="FF000000"/>
      </rPr>
      <t>CLO3</t>
    </r>
    <r>
      <rPr>
        <b val="false"/>
        <i val="false"/>
        <strike val="false"/>
        <sz val="14"/>
        <color rgb="FF000000"/>
      </rPr>
      <t xml:space="preserve">: Thành thạo phương pháp "Prompt-to-Visualization", sử dụng các công cụ AI Coding để viết mã nguồn Python (Matplotlib, Seaborn) vẽ biểu đồ trực quan hóa dữ liệu toán học.
</t>
    </r>
  </si>
  <si>
    <t/>
    <r>
      <rPr>
        <b val="false"/>
        <i val="false"/>
        <strike val="false"/>
        <sz val="14"/>
        <color rgb="FF000000"/>
      </rPr>
      <t xml:space="preserve">Matrices, vector, Pandas DataFrames, Null Handling, Regex, Matrix Multiplication, Dot Product, Cosine Similarity.
</t>
    </r>
    <r>
      <rPr>
        <b val="true"/>
        <i val="true"/>
        <strike val="false"/>
        <sz val="14"/>
        <color rgb="FF000000"/>
      </rPr>
      <t xml:space="preserve">Tính kế thừa:</t>
    </r>
    <r>
      <rPr>
        <b val="false"/>
        <i val="true"/>
        <strike val="false"/>
        <sz val="14"/>
        <color rgb="FF000000"/>
      </rPr>
      <t xml:space="preserve"> Kế thừa trực tiếp hệ thống dữ liệu từ các dự án môn học từ học kỳ trước và tiến hành làm sạch
</t>
    </r>
    <r>
      <rPr>
        <b val="true"/>
        <i val="false"/>
        <strike val="false"/>
        <sz val="14"/>
        <color rgb="FF000000"/>
      </rPr>
      <t xml:space="preserve">Sản phẩm đầu ra:</t>
    </r>
    <r>
      <rPr>
        <b val="false"/>
        <i val="false"/>
        <strike val="false"/>
        <sz val="14"/>
        <color rgb="FF000000"/>
      </rPr>
      <t xml:space="preserve"> Pipeline làm sạch và Dashboard phân tích dữ liệu.</t>
    </r>
  </si>
  <si>
    <t xml:space="preserve">Thi thực hành</t>
  </si>
  <si>
    <t xml:space="preserve">IT-302</t>
  </si>
  <si>
    <t/>
    <r>
      <rPr>
        <b val="true"/>
        <i val="false"/>
        <strike val="false"/>
        <sz val="14"/>
        <color rgb="FF000000"/>
      </rPr>
      <t xml:space="preserve">Data structures &amp; Algorithms (01)
</t>
    </r>
    <r>
      <rPr>
        <b val="false"/>
        <i val="false"/>
        <strike val="false"/>
        <sz val="14"/>
        <color rgb="FF000000"/>
      </rPr>
      <t xml:space="preserve">(Cấu trúc dữ liệu &amp; Giải thuật)</t>
    </r>
  </si>
  <si>
    <t/>
    <r>
      <rPr>
        <b val="true"/>
        <i val="false"/>
        <strike val="false"/>
        <sz val="14"/>
        <color rgb="FF000000"/>
      </rPr>
      <t>CLO1</t>
    </r>
    <r>
      <rPr>
        <b val="false"/>
        <i val="false"/>
        <strike val="false"/>
        <sz val="14"/>
        <color rgb="FF000000"/>
      </rPr>
      <t xml:space="preserve">: Đánh giá và tối ưu hóa được hiệu năng của mã nguồn thông qua phân tích độ phức tạp thuật toán.
</t>
    </r>
    <r>
      <rPr>
        <b val="true"/>
        <i val="false"/>
        <strike val="false"/>
        <sz val="14"/>
        <color rgb="FF000000"/>
      </rPr>
      <t>CLO2</t>
    </r>
    <r>
      <rPr>
        <b val="false"/>
        <i val="false"/>
        <strike val="false"/>
        <sz val="14"/>
        <color rgb="FF000000"/>
      </rPr>
      <t xml:space="preserve">: Cài đặt thành thạo các cấu trúc dữ liệu nền tảng phục vụ cho việc tra cứu thông tin tốc độ cao.
</t>
    </r>
    <r>
      <rPr>
        <b val="true"/>
        <i val="false"/>
        <strike val="false"/>
        <sz val="14"/>
        <color rgb="FF000000"/>
      </rPr>
      <t>CLO3</t>
    </r>
    <r>
      <rPr>
        <b val="false"/>
        <i val="false"/>
        <strike val="false"/>
        <sz val="14"/>
        <color rgb="FF000000"/>
      </rPr>
      <t xml:space="preserve">: Thành thạo Cursor để "Code Reading" giải thích luồng chạy của mã nguồn, yêu cầu AI tự động sinh các bộ Test Cases (mảng trống, mảng số âm) để kiểm tra độ bền bỉ của thuật toán.</t>
    </r>
  </si>
  <si>
    <t/>
    <r>
      <rPr>
        <b val="false"/>
        <i val="false"/>
        <strike val="false"/>
        <sz val="14"/>
        <color rgb="FF000000"/>
      </rPr>
      <t xml:space="preserve">Arrays, Linked Lists, Hash Tables, Sorting algorithms, Binary Search.
</t>
    </r>
    <r>
      <rPr>
        <b val="true"/>
        <i val="true"/>
        <strike val="false"/>
        <sz val="14"/>
        <color rgb="FF000000"/>
      </rPr>
      <t xml:space="preserve">Tính kế thừa: </t>
    </r>
    <r>
      <rPr>
        <b val="false"/>
        <i val="true"/>
        <strike val="false"/>
        <sz val="14"/>
        <color rgb="FF000000"/>
      </rPr>
      <t xml:space="preserve">Nền tảng tư duy tối ưu hóa hiệu năng để sau này hiểu cơ chế tìm kiếm cực nhanh của Vector Database.
</t>
    </r>
    <r>
      <rPr>
        <b val="true"/>
        <i val="false"/>
        <strike val="false"/>
        <sz val="14"/>
        <color rgb="FF000000"/>
      </rPr>
      <t xml:space="preserve">Sản phẩm đầu ra:</t>
    </r>
    <r>
      <rPr>
        <b val="false"/>
        <i val="false"/>
        <strike val="false"/>
        <sz val="14"/>
        <color rgb="FF000000"/>
      </rPr>
      <t xml:space="preserve"> Thư viện thuật toán xử lý dữ liệu</t>
    </r>
  </si>
  <si>
    <t xml:space="preserve">IT-303</t>
  </si>
  <si>
    <t/>
    <r>
      <rPr>
        <b val="true"/>
        <i val="false"/>
        <strike val="false"/>
        <sz val="14"/>
        <color rgb="FF000000"/>
      </rPr>
      <t xml:space="preserve">Applied Machine Learning
</t>
    </r>
    <r>
      <rPr>
        <b val="false"/>
        <i val="false"/>
        <strike val="false"/>
        <sz val="14"/>
        <color rgb="FF000000"/>
      </rPr>
      <t xml:space="preserve">(Học máy ứng dụng)</t>
    </r>
  </si>
  <si>
    <t/>
    <r>
      <rPr>
        <b val="true"/>
        <i val="false"/>
        <strike val="false"/>
        <sz val="14"/>
        <color rgb="FF000000"/>
      </rPr>
      <t>CLO1</t>
    </r>
    <r>
      <rPr>
        <b val="false"/>
        <i val="false"/>
        <strike val="false"/>
        <sz val="14"/>
        <color rgb="FF000000"/>
      </rPr>
      <t xml:space="preserve">: Lựa chọn chính xác mô hình AI (Đám mây vs Cục bộ) phù hợp với quy mô và yêu cầu bảo mật của dự án.
</t>
    </r>
    <r>
      <rPr>
        <b val="true"/>
        <i val="false"/>
        <strike val="false"/>
        <sz val="14"/>
        <color rgb="FF000000"/>
      </rPr>
      <t>CLO2</t>
    </r>
    <r>
      <rPr>
        <b val="false"/>
        <i val="false"/>
        <strike val="false"/>
        <sz val="14"/>
        <color rgb="FF000000"/>
      </rPr>
      <t xml:space="preserve">: Triển khai thành công các mô hình mã nguồn mở từ Hugging Face vào dự án phần mềm.
</t>
    </r>
    <r>
      <rPr>
        <b val="true"/>
        <i val="false"/>
        <strike val="false"/>
        <sz val="14"/>
        <color rgb="FF000000"/>
      </rPr>
      <t>CLO3</t>
    </r>
    <r>
      <rPr>
        <b val="false"/>
        <i val="false"/>
        <strike val="false"/>
        <sz val="14"/>
        <color rgb="FF000000"/>
      </rPr>
      <t xml:space="preserve">: Thành thạo việc sử dụng AI hỗ trợ viết khung sườn (scaffolding) để triển khai các tính năng hướng AI miễn phí và bảo mật tuyệt đối.</t>
    </r>
  </si>
  <si>
    <t/>
    <r>
      <rPr>
        <b val="false"/>
        <i val="false"/>
        <strike val="false"/>
        <sz val="14"/>
        <color rgb="FF000000"/>
      </rPr>
      <t xml:space="preserve">Scikit-Learn basics, Hugging Face Transformers, Local Inference, Text Classification, Embeddings generation.
</t>
    </r>
    <r>
      <rPr>
        <b val="true"/>
        <i val="true"/>
        <strike val="false"/>
        <sz val="14"/>
        <color rgb="FF000000"/>
      </rPr>
      <t xml:space="preserve">Tính kế thừa:</t>
    </r>
    <r>
      <rPr>
        <b val="false"/>
        <i val="true"/>
        <strike val="false"/>
        <sz val="14"/>
        <color rgb="FF000000"/>
      </rPr>
      <t xml:space="preserve"> Nạp Dữ liệu sạch (IT-301) vào mô hình Hugging Face để mô hình sinh ra các ma trận số (Vectors).
</t>
    </r>
    <r>
      <rPr>
        <b val="true"/>
        <i val="false"/>
        <strike val="false"/>
        <sz val="14"/>
        <color rgb="FF000000"/>
      </rPr>
      <t xml:space="preserve">Sản phẩm đầu ra:</t>
    </r>
    <r>
      <rPr>
        <b val="false"/>
        <i val="false"/>
        <strike val="false"/>
        <sz val="14"/>
        <color rgb="FF000000"/>
      </rPr>
      <t xml:space="preserve"> API Phân tích văn bản/cảm xúc.</t>
    </r>
  </si>
  <si>
    <t xml:space="preserve">Project</t>
  </si>
  <si>
    <t xml:space="preserve">IT-304</t>
  </si>
  <si>
    <t/>
    <r>
      <rPr>
        <b val="true"/>
        <i val="false"/>
        <strike val="false"/>
        <sz val="14"/>
        <color rgb="FF000000"/>
      </rPr>
      <t xml:space="preserve">RAG Systems and LLMs Development
</t>
    </r>
    <r>
      <rPr>
        <b val="false"/>
        <i val="false"/>
        <strike val="false"/>
        <sz val="14"/>
        <color rgb="FF000000"/>
      </rPr>
      <t xml:space="preserve">(Xây dựng hệ thống RAG &amp; LLMs)</t>
    </r>
  </si>
  <si>
    <t/>
    <r>
      <rPr>
        <b val="true"/>
        <i val="false"/>
        <strike val="false"/>
        <sz val="14"/>
        <color rgb="FF000000"/>
      </rPr>
      <t>CLO1</t>
    </r>
    <r>
      <rPr>
        <b val="false"/>
        <i val="false"/>
        <strike val="false"/>
        <sz val="14"/>
        <color rgb="FF000000"/>
      </rPr>
      <t xml:space="preserve">: Thiết lập và quản trị thành công dữ liệu Vector trên hệ quản trị CSDL quan hệ.
</t>
    </r>
    <r>
      <rPr>
        <b val="true"/>
        <i val="false"/>
        <strike val="false"/>
        <sz val="14"/>
        <color rgb="FF000000"/>
      </rPr>
      <t>CLO2</t>
    </r>
    <r>
      <rPr>
        <b val="false"/>
        <i val="false"/>
        <strike val="false"/>
        <sz val="14"/>
        <color rgb="FF000000"/>
      </rPr>
      <t xml:space="preserve">: Xây dựng hoàn chỉnh luồng Truy xuất thế hệ tăng cường (RAG) khắc phục hiện tượng ảo giác của mô hình.
</t>
    </r>
    <r>
      <rPr>
        <b val="true"/>
        <i val="false"/>
        <strike val="false"/>
        <sz val="14"/>
        <color rgb="FF000000"/>
      </rPr>
      <t>CLO3</t>
    </r>
    <r>
      <rPr>
        <b val="false"/>
        <i val="false"/>
        <strike val="false"/>
        <sz val="14"/>
        <color rgb="FF000000"/>
      </rPr>
      <t xml:space="preserve">: Tích hợp trơn tru API của các Mô hình ngôn ngữ lớn (LLMs) bằng framework chuyên dụng.</t>
    </r>
  </si>
  <si>
    <t/>
    <r>
      <rPr>
        <b val="false"/>
        <i val="false"/>
        <strike val="false"/>
        <sz val="14"/>
        <color rgb="FF000000"/>
      </rPr>
      <t xml:space="preserve">Vector Embeddings, Chunking, pgvector setup, LangChain Core, Prompt Templates, Retrievers.
</t>
    </r>
    <r>
      <rPr>
        <b val="true"/>
        <i val="true"/>
        <strike val="false"/>
        <sz val="14"/>
        <color rgb="FF000000"/>
      </rPr>
      <t xml:space="preserve">Tính kế thừa:</t>
    </r>
    <r>
      <rPr>
        <b val="false"/>
        <i val="true"/>
        <strike val="false"/>
        <sz val="14"/>
        <color rgb="FF000000"/>
      </rPr>
      <t xml:space="preserve"> Kế thừa trực tiếp Database PostgreSQL của Kỳ 2, triển khai tích hợp plugin pgvector lên để lưu trữ Vectors (sinh ra từ IT-303). Dùng LangChain kết nối dữ liệu này với LLM.
</t>
    </r>
    <r>
      <rPr>
        <b val="true"/>
        <i val="false"/>
        <strike val="false"/>
        <sz val="14"/>
        <color rgb="FF000000"/>
      </rPr>
      <t xml:space="preserve">Sản phẩm đầu ra:</t>
    </r>
    <r>
      <rPr>
        <b val="false"/>
        <i val="false"/>
        <strike val="false"/>
        <sz val="14"/>
        <color rgb="FF000000"/>
      </rPr>
      <t xml:space="preserve"> Hệ thống RAG Engine Q&amp;A truy xuất tài liệu nội bộ.
</t>
    </r>
  </si>
  <si>
    <t xml:space="preserve">RK-102</t>
  </si>
  <si>
    <t/>
    <r>
      <rPr>
        <b val="true"/>
        <i val="false"/>
        <strike val="false"/>
        <sz val="14"/>
        <color rgb="FF000000"/>
      </rPr>
      <t xml:space="preserve">RK-Lab Internship
</t>
    </r>
    <r>
      <rPr>
        <b val="false"/>
        <i val="false"/>
        <strike val="false"/>
        <sz val="14"/>
        <color rgb="FF000000"/>
      </rPr>
      <t xml:space="preserve">(Thực tập RK-Lab)</t>
    </r>
  </si>
  <si>
    <t/>
    <r>
      <rPr>
        <b val="true"/>
        <i val="false"/>
        <strike val="false"/>
        <sz val="14"/>
        <color rgb="FF000000"/>
      </rPr>
      <t>CLO1</t>
    </r>
    <r>
      <rPr>
        <b val="false"/>
        <i val="false"/>
        <strike val="false"/>
        <sz val="14"/>
        <color rgb="FF000000"/>
      </rPr>
      <t xml:space="preserve">: Khảo sát và tích hợp giải pháp RAG vào đúng nỗi đau tra cứu thông tin của quy trình nghiệp vụ.
</t>
    </r>
    <r>
      <rPr>
        <b val="true"/>
        <i val="false"/>
        <strike val="false"/>
        <sz val="14"/>
        <color rgb="FF000000"/>
      </rPr>
      <t>CLO2</t>
    </r>
    <r>
      <rPr>
        <b val="false"/>
        <i val="false"/>
        <strike val="false"/>
        <sz val="14"/>
        <color rgb="FF000000"/>
      </rPr>
      <t xml:space="preserve">: Phối hợp mã nguồn và quản lý vòng đời dự án AI thông qua các công cụ không gian số.
</t>
    </r>
    <r>
      <rPr>
        <b val="true"/>
        <i val="false"/>
        <strike val="false"/>
        <sz val="14"/>
        <color rgb="FF000000"/>
      </rPr>
      <t>CLO3</t>
    </r>
    <r>
      <rPr>
        <b val="false"/>
        <i val="false"/>
        <strike val="false"/>
        <sz val="14"/>
        <color rgb="FF000000"/>
      </rPr>
      <t xml:space="preserve">: Thuyết trình (Pitching) tính ứng dụng và bảo vệ kiến trúc hệ thống trước hội đồng kỹ thuật.</t>
    </r>
  </si>
  <si>
    <t xml:space="preserve">Tổng học kỳ III - Kiến thức chuyên ngành</t>
  </si>
  <si>
    <t/>
    <r>
      <rPr>
        <b val="false"/>
        <i val="false"/>
        <strike val="false"/>
        <sz val="14"/>
        <color rgb="FFFFFFFF"/>
      </rPr>
      <t xml:space="preserve">Sinh viên có năng lực làm sạch dữ liệu lớn, tính toán khoảng cách ngữ nghĩa, sử dụng LLM mã nguồn mở, cài đặt Vector DB và xây dựng thành công kiến trúc RAG cho phần mềm.
</t>
    </r>
    <r>
      <rPr>
        <b val="true"/>
        <i val="false"/>
        <strike val="false"/>
        <sz val="14"/>
        <color rgb="FFFFFFFF"/>
      </rPr>
      <t xml:space="preserve">Vị trí đầu ra (Job Role):</t>
    </r>
    <r>
      <rPr>
        <b val="false"/>
        <i val="false"/>
        <strike val="false"/>
        <sz val="14"/>
        <color rgb="FFFFFFFF"/>
      </rPr>
      <t xml:space="preserve"> AI Application Developer (RAG / Data Focus).
</t>
    </r>
  </si>
  <si>
    <t xml:space="preserve">PTIT - KS26 - Khung chương trình kiến thức chuyên ngành - Kỳ học IV</t>
  </si>
  <si>
    <t/>
    <r>
      <rPr>
        <b val="true"/>
        <i val="false"/>
        <strike val="false"/>
        <sz val="24"/>
        <color rgb="FF000000"/>
      </rPr>
      <t xml:space="preserve">PLO - Program Learning Outcome
</t>
    </r>
    <r>
      <rPr>
        <b val="false"/>
        <i val="false"/>
        <strike val="false"/>
        <sz val="24"/>
        <color rgb="FF000000"/>
      </rPr>
      <t xml:space="preserve">(Chuẩn đầu ra - Học kỳ IV)</t>
    </r>
  </si>
  <si>
    <t/>
    <r>
      <rPr>
        <b val="true"/>
        <i val="false"/>
        <strike val="false"/>
        <sz val="14"/>
        <color rgb="FF000000"/>
      </rPr>
      <t xml:space="preserve">PLO 1: </t>
    </r>
    <r>
      <rPr>
        <b val="false"/>
        <i val="false"/>
        <strike val="false"/>
        <sz val="14"/>
        <color rgb="FF000000"/>
      </rPr>
      <t xml:space="preserve">Cài đặt và phân tích các cấu trúc dữ liệu Cây và Đồ thị, tạo tiền đề tư duy vững chắc để thiết kế luồng trạng thái (State Graph) cho các kiến trúc AI hiện đại.
</t>
    </r>
    <r>
      <rPr>
        <b val="true"/>
        <i val="false"/>
        <strike val="false"/>
        <sz val="14"/>
        <color rgb="FF000000"/>
      </rPr>
      <t xml:space="preserve">PLO 2: </t>
    </r>
    <r>
      <rPr>
        <b val="false"/>
        <i val="false"/>
        <strike val="false"/>
        <sz val="14"/>
        <color rgb="FF000000"/>
      </rPr>
      <t xml:space="preserve">Phát triển các Tác nhân AI độc lập (Single Agent) có khả năng tự suy luận, tự hành động, đồng thời ứng dụng Giao thức Ngữ cảnh Mô hình (Model Context Protocol - MCP) để kết nối chuẩn hóa AI với các nguồn dữ liệu doanh nghiệp.
</t>
    </r>
    <r>
      <rPr>
        <b val="true"/>
        <i val="false"/>
        <strike val="false"/>
        <sz val="14"/>
        <color rgb="FF000000"/>
      </rPr>
      <t xml:space="preserve">PLO 3: </t>
    </r>
    <r>
      <rPr>
        <b val="false"/>
        <i val="false"/>
        <strike val="false"/>
        <sz val="14"/>
        <color rgb="FF000000"/>
      </rPr>
      <t xml:space="preserve">Vận dụng lý thuyết đồ thị và framework LangGraph để thiết kế, điều phối hệ thống Đa tác nhân (Multi-Agent), tự động hóa các luồng công việc phức tạp nhiều bước.
</t>
    </r>
    <r>
      <rPr>
        <b val="true"/>
        <i val="false"/>
        <strike val="false"/>
        <sz val="14"/>
        <color rgb="FF000000"/>
      </rPr>
      <t xml:space="preserve">PLO 4: </t>
    </r>
    <r>
      <rPr>
        <b val="false"/>
        <i val="false"/>
        <strike val="false"/>
        <sz val="14"/>
        <color rgb="FF000000"/>
      </rPr>
      <t xml:space="preserve">Đóng gói toàn bộ kiến trúc (Web, Agent Workers, Database) thông qua nền tảng Docker, giải quyết bài toán đồng bộ môi trường triển khai từ máy cá nhân lên máy chủ thực tế.
</t>
    </r>
    <r>
      <rPr>
        <b val="true"/>
        <i val="false"/>
        <strike val="false"/>
        <sz val="14"/>
        <color rgb="FF000000"/>
      </rPr>
      <t xml:space="preserve">PLO 5: </t>
    </r>
    <r>
      <rPr>
        <b val="false"/>
        <i val="false"/>
        <strike val="false"/>
        <sz val="14"/>
        <color rgb="FF000000"/>
      </rPr>
      <t xml:space="preserve">Triển khai thành công dự án tự động hóa nghiệp vụ doanh nghiệp bằng kiến trúc Multi-Agent và bàn giao dưới dạng Container chuẩn DevOps.</t>
    </r>
  </si>
  <si>
    <t xml:space="preserve">STT</t>
  </si>
  <si>
    <t xml:space="preserve">Mã môn</t>
  </si>
  <si>
    <t xml:space="preserve">Học kỳ</t>
  </si>
  <si>
    <t xml:space="preserve">Môn học</t>
  </si>
  <si>
    <t xml:space="preserve">Đầu ra môn học</t>
  </si>
  <si>
    <t xml:space="preserve">Nội dung chính</t>
  </si>
  <si>
    <t xml:space="preserve">Hình thức khảo thí</t>
  </si>
  <si>
    <t xml:space="preserve">Lý thuyết</t>
  </si>
  <si>
    <t xml:space="preserve">Thực hành</t>
  </si>
  <si>
    <t xml:space="preserve">Mini Project</t>
  </si>
  <si>
    <t xml:space="preserve">Thi
(Exam)</t>
  </si>
  <si>
    <t xml:space="preserve">Dự án 
(Project)</t>
  </si>
  <si>
    <t xml:space="preserve">Tổng số tiết 
(2h/tiết)</t>
  </si>
  <si>
    <t xml:space="preserve">Tổng thời gian (Giờ)</t>
  </si>
  <si>
    <t xml:space="preserve">Offline</t>
  </si>
  <si>
    <t xml:space="preserve">Online</t>
  </si>
  <si>
    <t xml:space="preserve">IT-401</t>
  </si>
  <si>
    <t xml:space="preserve">SEM IV</t>
  </si>
  <si>
    <t/>
    <r>
      <rPr>
        <b val="true"/>
        <i val="false"/>
        <strike val="false"/>
        <sz val="14"/>
        <color rgb="FF000000"/>
      </rPr>
      <t xml:space="preserve">Data structures &amp; Algorithms (02)
</t>
    </r>
    <r>
      <rPr>
        <b val="false"/>
        <i val="false"/>
        <strike val="false"/>
        <sz val="14"/>
        <color rgb="FF000000"/>
      </rPr>
      <t xml:space="preserve">(Cấu trúc dữ liệu &amp; Giải thuật)</t>
    </r>
  </si>
  <si>
    <t/>
    <r>
      <rPr>
        <b val="true"/>
        <i val="false"/>
        <strike val="false"/>
        <sz val="14"/>
        <color rgb="FF000000"/>
      </rPr>
      <t>CLO1</t>
    </r>
    <r>
      <rPr>
        <b val="false"/>
        <i val="false"/>
        <strike val="false"/>
        <sz val="14"/>
        <color rgb="FF000000"/>
      </rPr>
      <t xml:space="preserve">: Đánh giá hiệu năng và phân tích độ phức tạp của các cấu trúc dữ liệu phi tuyến tính.
</t>
    </r>
    <r>
      <rPr>
        <b val="true"/>
        <i val="false"/>
        <strike val="false"/>
        <sz val="14"/>
        <color rgb="FF000000"/>
      </rPr>
      <t>CLO2</t>
    </r>
    <r>
      <rPr>
        <b val="false"/>
        <i val="false"/>
        <strike val="false"/>
        <sz val="14"/>
        <color rgb="FF000000"/>
      </rPr>
      <t xml:space="preserve">: Cài đặt thành thạo các thuật toán thao tác trên Cây và Đồ thị bằng ngôn ngữ Python.
</t>
    </r>
    <r>
      <rPr>
        <b val="true"/>
        <i val="false"/>
        <strike val="false"/>
        <sz val="14"/>
        <color rgb="FF000000"/>
      </rPr>
      <t>CLO3</t>
    </r>
    <r>
      <rPr>
        <b val="false"/>
        <i val="false"/>
        <strike val="false"/>
        <sz val="14"/>
        <color rgb="FF000000"/>
      </rPr>
      <t xml:space="preserve">: Ứng dụng lý thuyết Đồ thị để phác thảo các biểu đồ luồng trạng thái (State Machine).
</t>
    </r>
    <r>
      <rPr>
        <b val="true"/>
        <i val="false"/>
        <strike val="false"/>
        <sz val="14"/>
        <color rgb="FF000000"/>
      </rPr>
      <t>CLO4</t>
    </r>
    <r>
      <rPr>
        <b val="false"/>
        <i val="false"/>
        <strike val="false"/>
        <sz val="14"/>
        <color rgb="FF000000"/>
      </rPr>
      <t xml:space="preserve">: Thành thạo Cursor, yêu cầu AI sinh mã Python (sử dụng thư viện NetworkX hoặc Graphviz) để vẽ trực quan sơ đồ đỉnh/cạnh, các đồ thị vô hạn đỉnh để kiểm tra lỗi tràn bộ nhớ (Memory Leak) của thuật toán.</t>
    </r>
  </si>
  <si>
    <t/>
    <r>
      <rPr>
        <b val="false"/>
        <i val="false"/>
        <strike val="false"/>
        <sz val="14"/>
        <color rgb="FF000000"/>
      </rPr>
      <t xml:space="preserve">Binary Search Trees, DFS, BFS, Directed Acyclic Graphs (DAG), Memory Limits.
</t>
    </r>
    <r>
      <rPr>
        <b val="true"/>
        <i val="true"/>
        <strike val="false"/>
        <sz val="14"/>
        <color rgb="FF000000"/>
      </rPr>
      <t xml:space="preserve">Tính kế thừa:</t>
    </r>
    <r>
      <rPr>
        <b val="false"/>
        <i val="true"/>
        <strike val="false"/>
        <sz val="14"/>
        <color rgb="FF000000"/>
      </rPr>
      <t xml:space="preserve"> Đây là lý thuyết Toán/Tin học nền tảng bắt buộc để hiểu cách các node trong framework LangGraph - Nền tảng vận hành các tác nhân tự hành (AI Agent)
</t>
    </r>
    <r>
      <rPr>
        <b val="true"/>
        <i val="false"/>
        <strike val="false"/>
        <sz val="14"/>
        <color rgb="FF000000"/>
      </rPr>
      <t xml:space="preserve">Sản phẩm đầu ra</t>
    </r>
    <r>
      <rPr>
        <b val="false"/>
        <i val="false"/>
        <strike val="false"/>
        <sz val="14"/>
        <color rgb="FF000000"/>
      </rPr>
      <t xml:space="preserve">: Mô phỏng State Machine bằng mã Python.</t>
    </r>
  </si>
  <si>
    <t xml:space="preserve">Thi thực hành</t>
  </si>
  <si>
    <t xml:space="preserve">IT-402</t>
  </si>
  <si>
    <t/>
    <r>
      <rPr>
        <b val="true"/>
        <i val="false"/>
        <strike val="false"/>
        <sz val="14"/>
        <color rgb="FF000000"/>
      </rPr>
      <t xml:space="preserve">Autonomous Agents &amp; Model Context Protocol
</t>
    </r>
    <r>
      <rPr>
        <b val="false"/>
        <i val="false"/>
        <strike val="false"/>
        <sz val="14"/>
        <color rgb="FF000000"/>
      </rPr>
      <t xml:space="preserve">(Tác nhân tự hành &amp; Giao thức MCP)</t>
    </r>
  </si>
  <si>
    <t/>
    <r>
      <rPr>
        <b val="true"/>
        <i val="false"/>
        <strike val="false"/>
        <sz val="14"/>
        <color rgb="FF000000"/>
      </rPr>
      <t>CLO1</t>
    </r>
    <r>
      <rPr>
        <b val="false"/>
        <i val="false"/>
        <strike val="false"/>
        <sz val="14"/>
        <color rgb="FF000000"/>
      </rPr>
      <t xml:space="preserve">: Thiết kế và đóng gói các hàm chức năng thành các Công cụ (Tools) an toàn cho LLM gọi tới.
</t>
    </r>
    <r>
      <rPr>
        <b val="true"/>
        <i val="false"/>
        <strike val="false"/>
        <sz val="14"/>
        <color rgb="FF000000"/>
      </rPr>
      <t>CLO2</t>
    </r>
    <r>
      <rPr>
        <b val="false"/>
        <i val="false"/>
        <strike val="false"/>
        <sz val="14"/>
        <color rgb="FF000000"/>
      </rPr>
      <t xml:space="preserve">: Triển khai Giao thức MCP để chuẩn hóa việc kết nối dữ liệu giữa Agent và phần mềm bên ngoài.
</t>
    </r>
    <r>
      <rPr>
        <b val="true"/>
        <i val="false"/>
        <strike val="false"/>
        <sz val="14"/>
        <color rgb="FF000000"/>
      </rPr>
      <t>CLO3</t>
    </r>
    <r>
      <rPr>
        <b val="false"/>
        <i val="false"/>
        <strike val="false"/>
        <sz val="14"/>
        <color rgb="FF000000"/>
      </rPr>
      <t xml:space="preserve">: Xây dựng một Tác nhân độc lập (Single Agent) có khả năng tự suy luận, chọn tool và thực thi thành công.</t>
    </r>
  </si>
  <si>
    <t/>
    <r>
      <rPr>
        <b val="false"/>
        <i val="false"/>
        <strike val="false"/>
        <sz val="14"/>
        <color rgb="FF000000"/>
      </rPr>
      <t xml:space="preserve">OpenAI Tools API, ReAct Prompting, Model Context Protocol (MCP) Servers, Tool Execution logic.
</t>
    </r>
    <r>
      <rPr>
        <b val="true"/>
        <i val="true"/>
        <strike val="false"/>
        <sz val="14"/>
        <color rgb="FF000000"/>
      </rPr>
      <t xml:space="preserve">Tính kế thừa:</t>
    </r>
    <r>
      <rPr>
        <b val="false"/>
        <i val="true"/>
        <strike val="false"/>
        <sz val="14"/>
        <color rgb="FF000000"/>
      </rPr>
      <t xml:space="preserve"> Nâng câp chatbot học kỳ III, phát triển thêm các tính năng như "Gửi Mail", "Truy vấn DB". Dạy AI cách tự động kích hoạt các tính năng đó.
</t>
    </r>
    <r>
      <rPr>
        <b val="true"/>
        <i val="false"/>
        <strike val="false"/>
        <sz val="14"/>
        <color rgb="FF000000"/>
      </rPr>
      <t xml:space="preserve">Sản phẩm đầu ra:</t>
    </r>
    <r>
      <rPr>
        <b val="false"/>
        <i val="false"/>
        <strike val="false"/>
        <sz val="14"/>
        <color rgb="FF000000"/>
      </rPr>
      <t xml:space="preserve"> Single AI Agent biết thao tác với hệ thống bên ngoài.</t>
    </r>
  </si>
  <si>
    <t xml:space="preserve">Project</t>
  </si>
  <si>
    <t xml:space="preserve">IT-403</t>
  </si>
  <si>
    <t/>
    <r>
      <rPr>
        <b val="true"/>
        <i val="false"/>
        <strike val="false"/>
        <sz val="14"/>
        <color rgb="FF000000"/>
      </rPr>
      <t xml:space="preserve">Multi-Agent Architecture and Systems
</t>
    </r>
    <r>
      <rPr>
        <b val="false"/>
        <i val="false"/>
        <strike val="false"/>
        <sz val="14"/>
        <color rgb="FF000000"/>
      </rPr>
      <t xml:space="preserve">(Kiến trúc đa tác nhân)</t>
    </r>
  </si>
  <si>
    <t/>
    <r>
      <rPr>
        <b val="true"/>
        <i val="false"/>
        <strike val="false"/>
        <sz val="14"/>
        <color rgb="FF000000"/>
      </rPr>
      <t>CLO1</t>
    </r>
    <r>
      <rPr>
        <b val="false"/>
        <i val="false"/>
        <strike val="false"/>
        <sz val="14"/>
        <color rgb="FF000000"/>
      </rPr>
      <t xml:space="preserve">: Thiết kế kiến trúc phân chia vai trò cho các Tác nhân AI dựa trên nghiệp vụ thực tế.
</t>
    </r>
    <r>
      <rPr>
        <b val="true"/>
        <i val="false"/>
        <strike val="false"/>
        <sz val="14"/>
        <color rgb="FF000000"/>
      </rPr>
      <t>CLO2</t>
    </r>
    <r>
      <rPr>
        <b val="false"/>
        <i val="false"/>
        <strike val="false"/>
        <sz val="14"/>
        <color rgb="FF000000"/>
      </rPr>
      <t xml:space="preserve">: Vận dụng LangGraph để xây dựng các biểu đồ trạng thái (State Graphs) điều phối Đa tác nhân.
</t>
    </r>
    <r>
      <rPr>
        <b val="true"/>
        <i val="false"/>
        <strike val="false"/>
        <sz val="14"/>
        <color rgb="FF000000"/>
      </rPr>
      <t>CLO3</t>
    </r>
    <r>
      <rPr>
        <b val="false"/>
        <i val="false"/>
        <strike val="false"/>
        <sz val="14"/>
        <color rgb="FF000000"/>
      </rPr>
      <t xml:space="preserve">: Giải quyết các bài toán chuỗi tự động hóa phức tạp thông qua sự cộng tác của hệ thống Multi-Agent.
Framework xây dựng skill + MCP</t>
    </r>
  </si>
  <si>
    <t/>
    <r>
      <rPr>
        <b val="false"/>
        <i val="false"/>
        <strike val="false"/>
        <sz val="14"/>
        <color rgb="FF000000"/>
      </rPr>
      <t xml:space="preserve">Supervisor pattern, State management in LangGraph, Conditional Edges, Human-in-the-loop.
</t>
    </r>
    <r>
      <rPr>
        <b val="true"/>
        <i val="true"/>
        <strike val="false"/>
        <sz val="14"/>
        <color rgb="FF000000"/>
      </rPr>
      <t xml:space="preserve">Tính kế thừa:</t>
    </r>
    <r>
      <rPr>
        <b val="false"/>
        <i val="true"/>
        <strike val="false"/>
        <sz val="14"/>
        <color rgb="FF000000"/>
      </rPr>
      <t xml:space="preserve"> Kết hợp sức mạnh của nhiều Single Agent (AU-306), nối chúng lại bằng Đồ thị DAG để tạo ra một "Phòng ban AI" tự làm việc với nhau.
</t>
    </r>
    <r>
      <rPr>
        <b val="true"/>
        <i val="false"/>
        <strike val="false"/>
        <sz val="14"/>
        <color rgb="FF000000"/>
      </rPr>
      <t xml:space="preserve">Sản phẩm đầu ra:</t>
    </r>
    <r>
      <rPr>
        <b val="false"/>
        <i val="false"/>
        <strike val="false"/>
        <sz val="14"/>
        <color rgb="FF000000"/>
      </rPr>
      <t xml:space="preserve"> Luồng Multi-Agent tự động thu thập, phân tích và xuất báo cáo.</t>
    </r>
  </si>
  <si>
    <t xml:space="preserve">IT-404</t>
  </si>
  <si>
    <t/>
    <r>
      <rPr>
        <b val="true"/>
        <i val="false"/>
        <strike val="false"/>
        <sz val="14"/>
        <color rgb="FF000000"/>
      </rPr>
      <t xml:space="preserve">DevOps Architecture and Containerization
</t>
    </r>
    <r>
      <rPr>
        <b val="false"/>
        <i val="false"/>
        <strike val="false"/>
        <sz val="14"/>
        <color rgb="FF000000"/>
      </rPr>
      <t xml:space="preserve">(Kiến trúc Devops cơ bản)</t>
    </r>
  </si>
  <si>
    <t/>
    <r>
      <rPr>
        <b val="true"/>
        <i val="false"/>
        <strike val="false"/>
        <sz val="14"/>
        <color rgb="FF000000"/>
      </rPr>
      <t>CLO1</t>
    </r>
    <r>
      <rPr>
        <b val="false"/>
        <i val="false"/>
        <strike val="false"/>
        <sz val="14"/>
        <color rgb="FF000000"/>
      </rPr>
      <t xml:space="preserve">: Trình bày được nguyên lý ảo hóa Container để giải quyết vấn đề đồng nhất môi trường.
</t>
    </r>
    <r>
      <rPr>
        <b val="true"/>
        <i val="false"/>
        <strike val="false"/>
        <sz val="14"/>
        <color rgb="FF000000"/>
      </rPr>
      <t>CLO2</t>
    </r>
    <r>
      <rPr>
        <b val="false"/>
        <i val="false"/>
        <strike val="false"/>
        <sz val="14"/>
        <color rgb="FF000000"/>
      </rPr>
      <t xml:space="preserve">: Đóng gói một hệ thống AI quy mô lớn gồm nhiều dịch vụ (Microservices) độc lập thông qua nền tảng Docker.
</t>
    </r>
    <r>
      <rPr>
        <b val="true"/>
        <i val="false"/>
        <strike val="false"/>
        <sz val="14"/>
        <color rgb="FF000000"/>
      </rPr>
      <t>CLO3</t>
    </r>
    <r>
      <rPr>
        <b val="false"/>
        <i val="false"/>
        <strike val="false"/>
        <sz val="14"/>
        <color rgb="FF000000"/>
      </rPr>
      <t xml:space="preserve">: Tự động hóa quá trình cấu hình hạ tầng triển khai với sự hỗ trợ của công cụ Vibe Coding.</t>
    </r>
  </si>
  <si>
    <t/>
    <r>
      <rPr>
        <b val="false"/>
        <i val="false"/>
        <strike val="false"/>
        <sz val="14"/>
        <color rgb="FF000000"/>
      </rPr>
      <t xml:space="preserve">Containerization concepts, Docker builds, Port mapping, Docker Compose orchestration, Environment variables.
</t>
    </r>
    <r>
      <rPr>
        <b val="true"/>
        <i val="true"/>
        <strike val="false"/>
        <sz val="14"/>
        <color rgb="FF000000"/>
      </rPr>
      <t xml:space="preserve">Tính kế thừa:</t>
    </r>
    <r>
      <rPr>
        <b val="false"/>
        <i val="true"/>
        <strike val="false"/>
        <sz val="14"/>
        <color rgb="FF000000"/>
      </rPr>
      <t xml:space="preserve"> Kế thừa toàn bộ kiến thức Frontend, Backend, Database, LangGraph. Tất cả được nén vào Docker để chạy đồng nhất trên mọi máy tính.
</t>
    </r>
    <r>
      <rPr>
        <b val="true"/>
        <i val="false"/>
        <strike val="false"/>
        <sz val="14"/>
        <color rgb="FF000000"/>
      </rPr>
      <t xml:space="preserve">Sản phẩm đầu ra:</t>
    </r>
    <r>
      <rPr>
        <b val="false"/>
        <i val="false"/>
        <strike val="false"/>
        <sz val="14"/>
        <color rgb="FF000000"/>
      </rPr>
      <t xml:space="preserve"> Hệ thống Dockerized hoàn chỉnh, chạy lên bằng 1 dòng lệnh.</t>
    </r>
  </si>
  <si>
    <t xml:space="preserve">RK-103</t>
  </si>
  <si>
    <t/>
    <r>
      <rPr>
        <b val="true"/>
        <i val="false"/>
        <strike val="false"/>
        <sz val="14"/>
        <color rgb="FF000000"/>
      </rPr>
      <t xml:space="preserve">RK-Lab Internship
</t>
    </r>
    <r>
      <rPr>
        <b val="false"/>
        <i val="false"/>
        <strike val="false"/>
        <sz val="14"/>
        <color rgb="FF000000"/>
      </rPr>
      <t xml:space="preserve">(Thực tập RK-Lab)</t>
    </r>
  </si>
  <si>
    <t/>
    <r>
      <rPr>
        <b val="true"/>
        <i val="false"/>
        <strike val="false"/>
        <sz val="14"/>
        <color rgb="FF000000"/>
      </rPr>
      <t>CLO1</t>
    </r>
    <r>
      <rPr>
        <b val="false"/>
        <i val="false"/>
        <strike val="false"/>
        <sz val="14"/>
        <color rgb="FF000000"/>
      </rPr>
      <t xml:space="preserve">: Hiện thực hóa kiến trúc hệ thống Đa tác nhân (Multi-Agent) phục vụ tự động hóa một quy trình chuyên biệt.
</t>
    </r>
    <r>
      <rPr>
        <b val="true"/>
        <i val="false"/>
        <strike val="false"/>
        <sz val="14"/>
        <color rgb="FF000000"/>
      </rPr>
      <t>CLO2</t>
    </r>
    <r>
      <rPr>
        <b val="false"/>
        <i val="false"/>
        <strike val="false"/>
        <sz val="14"/>
        <color rgb="FF000000"/>
      </rPr>
      <t xml:space="preserve">: Triển khai và đóng gói hệ thống AI phức tạp lên môi trường máy chủ thông qua Docker.
</t>
    </r>
    <r>
      <rPr>
        <b val="true"/>
        <i val="false"/>
        <strike val="false"/>
        <sz val="14"/>
        <color rgb="FF000000"/>
      </rPr>
      <t>CLO3</t>
    </r>
    <r>
      <rPr>
        <b val="false"/>
        <i val="false"/>
        <strike val="false"/>
        <sz val="14"/>
        <color rgb="FF000000"/>
      </rPr>
      <t xml:space="preserve">: Phối hợp nhóm theo chuẩn kỹ sư phần mềm chuyên nghiệp và thuyết trình dự án hiệu quả.</t>
    </r>
  </si>
  <si>
    <t xml:space="preserve">Tổng học kỳ IV - Kiến thức chuyên ngành</t>
  </si>
  <si>
    <t/>
    <r>
      <rPr>
        <b val="false"/>
        <i val="false"/>
        <strike val="false"/>
        <sz val="14"/>
        <color rgb="FFFFFFFF"/>
      </rPr>
      <t xml:space="preserve">Sinh viên có năng lực xây dựng các luồng AI tự động suy luận và sử dụng công cụ (Agent), điều phối kiến trúc đa tác nhân (LangGraph), và làm chủ công nghệ DevOps/Docker để đóng gói hệ thống.
</t>
    </r>
    <r>
      <rPr>
        <b val="true"/>
        <i val="false"/>
        <strike val="false"/>
        <sz val="14"/>
        <color rgb="FFFFFFFF"/>
      </rPr>
      <t xml:space="preserve">Vị trí đầu ra (Job Role): </t>
    </r>
    <r>
      <rPr>
        <b val="false"/>
        <i val="false"/>
        <strike val="false"/>
        <sz val="14"/>
        <color rgb="FFFFFFFF"/>
      </rPr>
      <t xml:space="preserve">AI Automation Engineer / Agentic Developer.</t>
    </r>
  </si>
  <si>
    <t xml:space="preserve">\</t>
  </si>
  <si>
    <t/>
    <r>
      <rPr>
        <b val="true"/>
        <i val="false"/>
        <strike val="false"/>
        <sz val="24"/>
        <color rgb="FF000000"/>
      </rPr>
      <t xml:space="preserve">PLO - Program Learning Outcome
</t>
    </r>
    <r>
      <rPr>
        <b val="false"/>
        <i val="false"/>
        <strike val="false"/>
        <sz val="24"/>
        <color rgb="FF000000"/>
      </rPr>
      <t xml:space="preserve">(Chuẩn đầu ra - Học kỳ V)</t>
    </r>
  </si>
  <si>
    <t/>
    <r>
      <rPr>
        <b val="true"/>
        <i val="false"/>
        <strike val="false"/>
        <sz val="14"/>
        <color rgb="FF000000"/>
      </rPr>
      <t xml:space="preserve">PLO 1: </t>
    </r>
    <r>
      <rPr>
        <b val="false"/>
        <i val="false"/>
        <strike val="false"/>
        <sz val="14"/>
        <color rgb="FF000000"/>
      </rPr>
      <t xml:space="preserve">Triển khai các chiến lược bộ nhớ đệm ngữ nghĩa (Semantic Cache) và định tuyến mô hình (Model Routing) để tối ưu hóa hiệu năng, giảm thiểu độ trễ và tiết kiệm chi phí API (Cost Governance).
</t>
    </r>
    <r>
      <rPr>
        <b val="true"/>
        <i val="false"/>
        <strike val="false"/>
        <sz val="14"/>
        <color rgb="FF000000"/>
      </rPr>
      <t xml:space="preserve">PLO 2: </t>
    </r>
    <r>
      <rPr>
        <b val="false"/>
        <i val="false"/>
        <strike val="false"/>
        <sz val="14"/>
        <color rgb="FF000000"/>
      </rPr>
      <t xml:space="preserve">Nhận diện và phòng chống các lỗ hổng bảo mật đặc thù của LLMs (Prompt Injection), thiết lập hàng rào bảo vệ (Guardrails) và ẩn danh hóa dữ liệu cá nhân (PII Scrubbing).
</t>
    </r>
    <r>
      <rPr>
        <b val="true"/>
        <i val="false"/>
        <strike val="false"/>
        <sz val="14"/>
        <color rgb="FF000000"/>
      </rPr>
      <t xml:space="preserve">PLO 3:</t>
    </r>
    <r>
      <rPr>
        <b val="false"/>
        <i val="false"/>
        <strike val="false"/>
        <sz val="14"/>
        <color rgb="FF000000"/>
      </rPr>
      <t xml:space="preserve"> Tích hợp các nền tảng phân tích (Analytics) để giám sát hành vi người dùng, đánh giá mức độ tương tác và tính toán tỷ suất hoàn vốn (ROI) của hệ thống AI.
</t>
    </r>
    <r>
      <rPr>
        <b val="true"/>
        <i val="false"/>
        <strike val="false"/>
        <sz val="14"/>
        <color rgb="FF000000"/>
      </rPr>
      <t xml:space="preserve">PLO 4: </t>
    </r>
    <r>
      <rPr>
        <b val="false"/>
        <i val="false"/>
        <strike val="false"/>
        <sz val="14"/>
        <color rgb="FF000000"/>
      </rPr>
      <t xml:space="preserve">Đưa hệ thống phần mềm sẵn sàng phục vụ doanh nghiệp (Production-Ready) lên nền tảng đám mây (AWS/GCP).</t>
    </r>
  </si>
  <si>
    <t xml:space="preserve">STT</t>
  </si>
  <si>
    <t xml:space="preserve">Mã môn</t>
  </si>
  <si>
    <t xml:space="preserve">Học kỳ</t>
  </si>
  <si>
    <t xml:space="preserve">Môn học</t>
  </si>
  <si>
    <t xml:space="preserve">Đầu ra môn học</t>
  </si>
  <si>
    <t xml:space="preserve">Nội dung chính</t>
  </si>
  <si>
    <t xml:space="preserve">Hình thức khảo thí</t>
  </si>
  <si>
    <t xml:space="preserve">Lý thuyết</t>
  </si>
  <si>
    <t xml:space="preserve">Thực hành</t>
  </si>
  <si>
    <t xml:space="preserve">Mini Project</t>
  </si>
  <si>
    <t xml:space="preserve">Thi
(Exam)</t>
  </si>
  <si>
    <t xml:space="preserve">Dự án 
(Project)</t>
  </si>
  <si>
    <t xml:space="preserve">Tổng số tiết 
(2h/tiết)</t>
  </si>
  <si>
    <t xml:space="preserve">Tổng thời gian (Giờ)</t>
  </si>
  <si>
    <t xml:space="preserve">Offline</t>
  </si>
  <si>
    <t xml:space="preserve">Online</t>
  </si>
  <si>
    <t xml:space="preserve">IT-501</t>
  </si>
  <si>
    <t xml:space="preserve">SEM II</t>
  </si>
  <si>
    <t/>
    <r>
      <rPr>
        <b val="true"/>
        <i val="false"/>
        <strike val="false"/>
        <sz val="14"/>
        <color rgb="FF000000"/>
      </rPr>
      <t xml:space="preserve">LLMs Operation &amp; Cost Governance
</t>
    </r>
    <r>
      <rPr>
        <b val="false"/>
        <i val="false"/>
        <strike val="false"/>
        <sz val="14"/>
        <color rgb="FF000000"/>
      </rPr>
      <t xml:space="preserve">(Vận hành Mô hình LLMs và Quản trị Chi phí)</t>
    </r>
  </si>
  <si>
    <t/>
    <r>
      <rPr>
        <b val="true"/>
        <i val="false"/>
        <strike val="false"/>
        <sz val="14"/>
        <color rgb="FF000000"/>
      </rPr>
      <t xml:space="preserve">CLO1: </t>
    </r>
    <r>
      <rPr>
        <b val="false"/>
        <i val="false"/>
        <strike val="false"/>
        <sz val="14"/>
        <color rgb="FF000000"/>
      </rPr>
      <t xml:space="preserve">Cài đặt hệ thống bộ nhớ đệm (Caching-Redis) để giảm độ trễ và tối ưu chi phí hạ tầng.
</t>
    </r>
    <r>
      <rPr>
        <b val="true"/>
        <i val="false"/>
        <strike val="false"/>
        <sz val="14"/>
        <color rgb="FF000000"/>
      </rPr>
      <t xml:space="preserve">CLO2: </t>
    </r>
    <r>
      <rPr>
        <b val="false"/>
        <i val="false"/>
        <strike val="false"/>
        <sz val="14"/>
        <color rgb="FF000000"/>
      </rPr>
      <t xml:space="preserve">Triển khai cơ chế định tuyến (Routing) thông minh giữa các mô hình ngôn ngữ khác nhau.
</t>
    </r>
    <r>
      <rPr>
        <b val="true"/>
        <i val="false"/>
        <strike val="false"/>
        <sz val="14"/>
        <color rgb="FF000000"/>
      </rPr>
      <t xml:space="preserve">CLO3: </t>
    </r>
    <r>
      <rPr>
        <b val="false"/>
        <i val="false"/>
        <strike val="false"/>
        <sz val="14"/>
        <color rgb="FF000000"/>
      </rPr>
      <t xml:space="preserve">Tích hợp và cấu hình công cụ đo lường (PostHog) hành vi người dùng (Analytics).</t>
    </r>
  </si>
  <si>
    <t/>
    <r>
      <rPr>
        <b val="false"/>
        <i val="false"/>
        <strike val="false"/>
        <sz val="14"/>
        <color rgb="FF000000"/>
      </rPr>
      <t xml:space="preserve">Semantic Caching with Redis, Fallback LLM Logic, Observability &amp; Tracing, Cost Optimization metrics.
</t>
    </r>
    <r>
      <rPr>
        <b val="true"/>
        <i val="true"/>
        <strike val="false"/>
        <sz val="14"/>
        <color rgb="FF000000"/>
      </rPr>
      <t xml:space="preserve">Tính kế thừa: </t>
    </r>
    <r>
      <rPr>
        <b val="false"/>
        <i val="true"/>
        <strike val="false"/>
        <sz val="14"/>
        <color rgb="FF000000"/>
      </rPr>
      <t xml:space="preserve">Kế thừa toàn bộ container, môi trường làm việc của dự án kỳ trước và tiến hành triển khai, cài đặt các module mới như Redis.
</t>
    </r>
    <r>
      <rPr>
        <b val="true"/>
        <i val="false"/>
        <strike val="false"/>
        <sz val="14"/>
        <color rgb="FF000000"/>
      </rPr>
      <t xml:space="preserve">Sản phẩm đầu ra:</t>
    </r>
    <r>
      <rPr>
        <b val="false"/>
        <i val="false"/>
        <strike val="false"/>
        <sz val="14"/>
        <color rgb="FF000000"/>
      </rPr>
      <t xml:space="preserve"> Module Caching &amp; Tracking luồng AI.</t>
    </r>
  </si>
  <si>
    <t xml:space="preserve">Project</t>
  </si>
  <si>
    <t xml:space="preserve">IT-502</t>
  </si>
  <si>
    <t/>
    <r>
      <rPr>
        <b val="true"/>
        <i val="false"/>
        <strike val="false"/>
        <sz val="14"/>
        <color rgb="FF000000"/>
      </rPr>
      <t xml:space="preserve">AI Security &amp; Cloud Deployment
</t>
    </r>
    <r>
      <rPr>
        <b val="false"/>
        <i val="false"/>
        <strike val="false"/>
        <sz val="14"/>
        <color rgb="FF000000"/>
      </rPr>
      <t xml:space="preserve">(Bảo mật AI và Triển khai Đám mây)</t>
    </r>
  </si>
  <si>
    <t/>
    <r>
      <rPr>
        <b val="true"/>
        <i val="false"/>
        <strike val="false"/>
        <sz val="14"/>
        <color rgb="FF000000"/>
      </rPr>
      <t xml:space="preserve">CLO1: </t>
    </r>
    <r>
      <rPr>
        <b val="false"/>
        <i val="false"/>
        <strike val="false"/>
        <sz val="14"/>
        <color rgb="FF000000"/>
      </rPr>
      <t xml:space="preserve">Triển khai các biện pháp kỹ thuật chống lại các cuộc tấn công Prompt Injection và lộ lọt dữ liệu (NeMo Guardrails hoặc LlamaGuard).
</t>
    </r>
    <r>
      <rPr>
        <b val="true"/>
        <i val="false"/>
        <strike val="false"/>
        <sz val="14"/>
        <color rgb="FF000000"/>
      </rPr>
      <t xml:space="preserve">CLO2: </t>
    </r>
    <r>
      <rPr>
        <b val="false"/>
        <i val="false"/>
        <strike val="false"/>
        <sz val="14"/>
        <color rgb="FF000000"/>
      </rPr>
      <t xml:space="preserve">Thiết lập cơ chế lọc dữ liệu cá nhân (PII) theo chuẩn bảo mật doanh nghiệp.
</t>
    </r>
    <r>
      <rPr>
        <b val="true"/>
        <i val="false"/>
        <strike val="false"/>
        <sz val="14"/>
        <color rgb="FF000000"/>
      </rPr>
      <t>CLO3:</t>
    </r>
    <r>
      <rPr>
        <b val="false"/>
        <i val="false"/>
        <strike val="false"/>
        <sz val="14"/>
        <color rgb="FF000000"/>
      </rPr>
      <t xml:space="preserve"> Đóng gói và triển khai an toàn hệ thống lên hạ tầng đám mây (AWS).</t>
    </r>
  </si>
  <si>
    <t/>
    <r>
      <rPr>
        <b val="false"/>
        <i val="false"/>
        <strike val="false"/>
        <sz val="14"/>
        <color rgb="FF000000"/>
      </rPr>
      <t xml:space="preserve">NeMo Guardrails, Regex PII detection, OWASP for LLM, AWS EC2 setup, Domain &amp; SSL configuration.
</t>
    </r>
    <r>
      <rPr>
        <b val="true"/>
        <i val="true"/>
        <strike val="false"/>
        <sz val="14"/>
        <color rgb="FF000000"/>
      </rPr>
      <t xml:space="preserve">Tính kế thừa:</t>
    </r>
    <r>
      <rPr>
        <b val="false"/>
        <i val="true"/>
        <strike val="false"/>
        <sz val="14"/>
        <color rgb="FF000000"/>
      </rPr>
      <t xml:space="preserve"> Kế thừa toàn bộ dự án của môn học trước, triển khai áp dụng các framework và thư viện bảo mật. Đưa toàn bộ file Docker lên AWS để Public ra toàn cầu.
</t>
    </r>
    <r>
      <rPr>
        <b val="true"/>
        <i val="false"/>
        <strike val="false"/>
        <sz val="14"/>
        <color rgb="FF000000"/>
      </rPr>
      <t xml:space="preserve">Sản phẩm đầu ra: </t>
    </r>
    <r>
      <rPr>
        <b val="false"/>
        <i val="false"/>
        <strike val="false"/>
        <sz val="14"/>
        <color rgb="FF000000"/>
      </rPr>
      <t xml:space="preserve">Hệ thống API an toàn, chịu tải trên nền tảng AWS Cloud.</t>
    </r>
  </si>
  <si>
    <t xml:space="preserve">RK-104</t>
  </si>
  <si>
    <t/>
    <r>
      <rPr>
        <b val="true"/>
        <i val="false"/>
        <strike val="false"/>
        <sz val="14"/>
        <color rgb="FF000000"/>
      </rPr>
      <t xml:space="preserve">RK-Lab Internship
</t>
    </r>
    <r>
      <rPr>
        <b val="false"/>
        <i val="false"/>
        <strike val="false"/>
        <sz val="14"/>
        <color rgb="FF000000"/>
      </rPr>
      <t xml:space="preserve">(Thực tập RK-Lab)</t>
    </r>
  </si>
  <si>
    <t/>
    <r>
      <rPr>
        <b val="true"/>
        <i val="false"/>
        <strike val="false"/>
        <sz val="14"/>
        <color rgb="FF000000"/>
      </rPr>
      <t xml:space="preserve">CLO1: </t>
    </r>
    <r>
      <rPr>
        <b val="false"/>
        <i val="false"/>
        <strike val="false"/>
        <sz val="14"/>
        <color rgb="FF000000"/>
      </rPr>
      <t xml:space="preserve">Tổng hợp và vận dụng toàn diện kiến thức phát triển phần mềm, AI và vận hành để hoàn thiện một sản phẩm ứng dụng.
</t>
    </r>
    <r>
      <rPr>
        <b val="true"/>
        <i val="false"/>
        <strike val="false"/>
        <sz val="14"/>
        <color rgb="FF000000"/>
      </rPr>
      <t xml:space="preserve">CLO2: </t>
    </r>
    <r>
      <rPr>
        <b val="false"/>
        <i val="false"/>
        <strike val="false"/>
        <sz val="14"/>
        <color rgb="FF000000"/>
      </rPr>
      <t xml:space="preserve">Đảm bảo hệ thống đạt chuẩn doanh nghiệp (Production-Ready) về mặt bảo mật, hiệu năng và chi phí.
</t>
    </r>
    <r>
      <rPr>
        <b val="true"/>
        <i val="false"/>
        <strike val="false"/>
        <sz val="14"/>
        <color rgb="FF000000"/>
      </rPr>
      <t xml:space="preserve">CLO3: </t>
    </r>
    <r>
      <rPr>
        <b val="false"/>
        <i val="false"/>
        <strike val="false"/>
        <sz val="14"/>
        <color rgb="FF000000"/>
      </rPr>
      <t xml:space="preserve">Bảo vệ thành công tính khả thi kỹ thuật và hiệu quả đầu tư (ROI) trước hội đồng đánh giá.</t>
    </r>
  </si>
  <si>
    <t xml:space="preserve">Tổng học kỳ V - Kiến thức chuyên ngành</t>
  </si>
  <si>
    <t/>
    <r>
      <rPr>
        <b val="false"/>
        <i val="false"/>
        <strike val="false"/>
        <sz val="14"/>
        <color rgb="FFFFFFFF"/>
      </rPr>
      <t xml:space="preserve">Kỹ sư toàn diện có khả năng đưa hệ thống AI phức tạp lên hạ tầng Cloud, tối ưu hóa hàng nghìn đô la chi phí vận hành API, thiết lập khiên bảo mật dữ liệu, và tự tin vượt qua phỏng vấn System Design tại các tập đoàn công nghệ lớn.
</t>
    </r>
    <r>
      <rPr>
        <b val="true"/>
        <i val="false"/>
        <strike val="false"/>
        <sz val="14"/>
        <color rgb="FFFFFFFF"/>
      </rPr>
      <t xml:space="preserve">Vị trí đầu ra (Job Role): </t>
    </r>
    <r>
      <rPr>
        <b val="false"/>
        <i val="false"/>
        <strike val="false"/>
        <sz val="14"/>
        <color rgb="FFFFFFFF"/>
      </rPr>
      <t xml:space="preserve">LLMOps Engineer / AI Product Developer, Software Architect</t>
    </r>
  </si>
  <si>
    <t/>
    <r>
      <rPr>
        <b val="true"/>
        <i val="false"/>
        <strike val="false"/>
        <sz val="18"/>
        <color rgb="FF000000"/>
      </rPr>
      <t xml:space="preserve">[MODULE IT-101] - Fundamental of IT</t>
    </r>
    <r>
      <rPr>
        <b val="false"/>
        <i val="false"/>
        <strike val="false"/>
        <sz val="18"/>
        <color rgb="FF000000"/>
      </rPr>
      <t xml:space="preserve"> (Nhập môn công nghệ thông tin)</t>
    </r>
  </si>
  <si>
    <t xml:space="preserve">STT</t>
  </si>
  <si>
    <t xml:space="preserve">Hình thức học</t>
  </si>
  <si>
    <t xml:space="preserve">Session</t>
  </si>
  <si>
    <t xml:space="preserve">Nội dung</t>
  </si>
  <si>
    <t xml:space="preserve">Lesson</t>
  </si>
  <si>
    <t xml:space="preserve">Nội dung chi tiết</t>
  </si>
  <si>
    <t xml:space="preserve">Note</t>
  </si>
  <si>
    <t xml:space="preserve">Lý thuyết</t>
  </si>
  <si>
    <t xml:space="preserve">Tổng quan ngành CNTT</t>
  </si>
  <si>
    <t xml:space="preserve">Ngành CNTT là gì? – Vai trò trong xã hội số, ứng dụng trong các ngành khác</t>
  </si>
  <si>
    <t xml:space="preserve">Phân biệt IT – Computer Science – Software Engineering – Data Science</t>
  </si>
  <si>
    <t xml:space="preserve">Các lĩnh vực chính: Lập trình, App/Web, Mạng – Bảo mật, AI – Big Data, UI/UX, IoT</t>
  </si>
  <si>
    <t xml:space="preserve">Khái niệm thông tin, dữ liệu và tri thức</t>
  </si>
  <si>
    <t xml:space="preserve">Tổng quan về máy tính điện tử (Khái niệm, lịch sử và phân loại)</t>
  </si>
  <si>
    <t xml:space="preserve">Đơn vị lưu trữ (bit, byte, KB, MB, GB, TB)</t>
  </si>
  <si>
    <t xml:space="preserve">Xử lý thông tin bằng máy tính điện tử</t>
  </si>
  <si>
    <t xml:space="preserve">Kiến trúc HĐH &amp; Tư duy quản lý file</t>
  </si>
  <si>
    <t xml:space="preserve">Tổng quan về Hệ điều hành</t>
  </si>
  <si>
    <t xml:space="preserve">Kiến trúc hệ thống file và cây thư mục (File System Tree).</t>
  </si>
  <si>
    <t xml:space="preserve">Khái niệm Đường dẫn (Path) tuyệt đối và tương đối.</t>
  </si>
  <si>
    <t xml:space="preserve">Quy tắc đặt tên chuẩn Developer (Phân biệt kebab-case, snake_case, camelCase).</t>
  </si>
  <si>
    <t xml:space="preserve">Dọn dẹp và tổ chức lại cây thư mục ổ đĩa cá nhân.</t>
  </si>
  <si>
    <t xml:space="preserve">Hiển thị đuôi file (extensions) và file ẩn hệ thống (Hidden files).</t>
  </si>
  <si>
    <t xml:space="preserve">Thực hành</t>
  </si>
  <si>
    <t xml:space="preserve">Luyện tập tổng hợp - Làm việc với HĐH và máy tính</t>
  </si>
  <si>
    <t xml:space="preserve">Giao diện dòng lệnh (Terminal) cơ bản</t>
  </si>
  <si>
    <t xml:space="preserve">CLI vs GUI , cấu trúc câu lệnh: Tại sao Developer bắt buộc phải dùng Terminal?</t>
  </si>
  <si>
    <t xml:space="preserve">Các lệnh điều hướng hệ thống file và đường dẫn (pwd, cd, ls / dir).</t>
  </si>
  <si>
    <t xml:space="preserve">Các lệnh thao tác file và thư mục (mkdir, touch / New-Item, rm, cp, mv).</t>
  </si>
  <si>
    <t xml:space="preserve">Các lỗi thường gặp khi làm việc với Terminal</t>
  </si>
  <si>
    <t xml:space="preserve">Luyện tập tổng hợp - Các thao tác Terminal</t>
  </si>
  <si>
    <t xml:space="preserve">Terminal nâng cao &amp; Tiền đề Scripting</t>
  </si>
  <si>
    <t xml:space="preserve">Đọc &amp; Định vị tập tin trên Windows &amp; macOS</t>
  </si>
  <si>
    <t xml:space="preserve">Lọc dữ liệu &amp; Kỹ thuật Đường ống (grep, findstr, Pipe |)</t>
  </si>
  <si>
    <t xml:space="preserve">Luồng dữ liệu, pipeline và chuyển hướng</t>
  </si>
  <si>
    <t xml:space="preserve">Giới thiệu khái niệm Shell Script</t>
  </si>
  <si>
    <t xml:space="preserve">Viết, chạy và kiểm tra script đầu tiên - Kiểm tra lệnh và script do AI đề xuất</t>
  </si>
  <si>
    <t xml:space="preserve">Luyện tập tổng hợp - Tự động hóa công việc bằng Script</t>
  </si>
  <si>
    <t xml:space="preserve">Ngôn ngữ Markdown &amp; Viết tài liệu Kỹ thuật</t>
  </si>
  <si>
    <t xml:space="preserve">Markdown là gì? Markdown được dùng ở đâu ? Tại sao GitHub và các AI IDE chỉ đọc Markdown?</t>
  </si>
  <si>
    <t xml:space="preserve">Cú pháp Markdown cơ bản (Heading, List, Link, Image, Bold/Italic , Quote,).</t>
  </si>
  <si>
    <t xml:space="preserve">Cú pháp Markdown nâng cao (Inline Code , Code block, Table, Task list , Emoji).</t>
  </si>
  <si>
    <t xml:space="preserve">Markdown cho AI</t>
  </si>
  <si>
    <t xml:space="preserve">Luyện tập tổng hợp - Thiết kế file Đặc tả (README.md)</t>
  </si>
  <si>
    <t xml:space="preserve">Tin học văn phòng cơ bản</t>
  </si>
  <si>
    <t xml:space="preserve">Word/Docs: Sử dụng Heading Styles và Auto TOC (Mục lục tự động) để làm tài liệu Đặc tả hệ thống (SRS).</t>
  </si>
  <si>
    <t xml:space="preserve">Excel/Sheets: Tư duy Database &amp; Filter</t>
  </si>
  <si>
    <t xml:space="preserve">Excel/Sheets: VLOOKUP</t>
  </si>
  <si>
    <t xml:space="preserve">PowerPoint/Slides: Nguyên lý trình bày thiết kế báo cáo kỹ thuật trực quan</t>
  </si>
  <si>
    <t xml:space="preserve">Luyện tập tổng hợp - Tối ưu hóa tài liệu thô</t>
  </si>
  <si>
    <t xml:space="preserve">Mini project</t>
  </si>
  <si>
    <t xml:space="preserve">Dự án - Thiết kế cấu trúc thư mục tối ưu và script tự động hóa</t>
  </si>
  <si>
    <t xml:space="preserve">Hackathon</t>
  </si>
  <si>
    <t xml:space="preserve">Thi giữa môn - HACKATHON</t>
  </si>
  <si>
    <t xml:space="preserve">Không gian cộng tác đám mây (Cloud Workspace)</t>
  </si>
  <si>
    <t xml:space="preserve">Local Storage vs Cloud Storage (Tư duy đồng bộ hóa dữ liệu).</t>
  </si>
  <si>
    <t xml:space="preserve">Quản lý quyền chia sẻ (Permissions: Viewer, Commenter, Editor) tránh rò rỉ dữ liệu.</t>
  </si>
  <si>
    <t xml:space="preserve">Văn hóa giao tiếp nhóm qua công cụ doanh nghiệp (Lark Suite, Slack, Teams).</t>
  </si>
  <si>
    <t xml:space="preserve">Thiết lập Cloud Workspace</t>
  </si>
  <si>
    <t xml:space="preserve">Trình duyệt Web</t>
  </si>
  <si>
    <t xml:space="preserve">Kiến trúc trình duyệt và sự quan trọng của Developer Tools (F12).</t>
  </si>
  <si>
    <t xml:space="preserve">Quản lý Bookmark khoa học và chia Profile (Cá nhân vs Công việc).</t>
  </si>
  <si>
    <t xml:space="preserve">Bộ nhớ trình duyệt cơ bản (Cache vs Cookies).</t>
  </si>
  <si>
    <t xml:space="preserve">Phân tách Profile trình duyệt để không lẫn lộn tài khoản.</t>
  </si>
  <si>
    <t xml:space="preserve">Cài đặt hệ sinh thái Extensions thiết yếu (Adblock, JSON Viewer, Color Picker).</t>
  </si>
  <si>
    <t xml:space="preserve">Thao tác F12 cơ bản: Inspect Element (kiểm tra phần tử) và xem Network tab.</t>
  </si>
  <si>
    <t xml:space="preserve">Luyện tập tổng hợp - Thực hành làm việc với trình duyệt</t>
  </si>
  <si>
    <t xml:space="preserve">Bảo mật không gian số cá nhân</t>
  </si>
  <si>
    <t xml:space="preserve">Developer và các rủi ro bảo mật cơ bản (Phishing, dính mã độc qua phần mềm crack).</t>
  </si>
  <si>
    <t xml:space="preserve">Nguyên lý của Password Manager (Quản lý mật khẩu tập trung).</t>
  </si>
  <si>
    <t xml:space="preserve">Tầm quan trọng sống còn của Xác thực 2 bước (2FA/MFA) qua Authenticator App.</t>
  </si>
  <si>
    <t xml:space="preserve">Luyện tập tổng hợp - Xây dựng hàng rào bảo mật</t>
  </si>
  <si>
    <t xml:space="preserve">Kỹ năng tra cứu &amp; Gỡ lỗi (Troubleshooting)</t>
  </si>
  <si>
    <t xml:space="preserve">Nghệ thuật "Googling" cho Dev (Sử dụng toán tử site:, " ", -).</t>
  </si>
  <si>
    <t xml:space="preserve">Đọc hiểu ngữ cảnh trên StackOverflow và GitHub Issues.</t>
  </si>
  <si>
    <t xml:space="preserve">Framework đặt câu hỏi khi gặp Bug (Nêu bối cảnh -&gt; Hành vi mong muốn -&gt; Hành vi thực tế -&gt; Log lỗi).</t>
  </si>
  <si>
    <t xml:space="preserve">Luyện tập tổng hợp - Thực chiến Troubleshooting</t>
  </si>
  <si>
    <t xml:space="preserve">Mini project - Luyện tập tổng hợp các tình huống làm việc kết nối đám mây</t>
  </si>
  <si>
    <t xml:space="preserve">Thi cuối môn</t>
  </si>
  <si>
    <t/>
    <r>
      <rPr>
        <b val="true"/>
        <i val="false"/>
        <strike val="false"/>
        <sz val="18"/>
        <color rgb="FF000000"/>
      </rPr>
      <t xml:space="preserve">[MODULE IT-102] - AI Prompting Foundation</t>
    </r>
    <r>
      <rPr>
        <b val="false"/>
        <i val="false"/>
        <strike val="false"/>
        <sz val="18"/>
        <color rgb="FF000000"/>
      </rPr>
      <t xml:space="preserve"> (Kỹ năng prompting với AI)</t>
    </r>
  </si>
  <si>
    <t xml:space="preserve">STT</t>
  </si>
  <si>
    <t xml:space="preserve">Hình thức học</t>
  </si>
  <si>
    <t xml:space="preserve">Session</t>
  </si>
  <si>
    <t xml:space="preserve">Nội dung</t>
  </si>
  <si>
    <t xml:space="preserve">Lesson</t>
  </si>
  <si>
    <t xml:space="preserve">Nội dung chi tiết</t>
  </si>
  <si>
    <t xml:space="preserve">Note</t>
  </si>
  <si>
    <t xml:space="preserve">Lý thuyết</t>
  </si>
  <si>
    <t xml:space="preserve">Bản chất LLMs &amp; Giới hạn của AI</t>
  </si>
  <si>
    <t xml:space="preserve">LLM là gì? Sự khác biệt cốt lõi giữa các Model (GPT-4, Claude 3.5, Gemini) và cách chọn Model tối ưu.</t>
  </si>
  <si>
    <t xml:space="preserve">Đạo đức trong sử dụng AI</t>
  </si>
  <si>
    <t xml:space="preserve">Khái niệm Token và Context Window (Cửa sổ ngữ cảnh). Cơ chế AI "nhớ" và "quên" thông tin.</t>
  </si>
  <si>
    <t xml:space="preserve">Ảo giác của AI (Hallucination): Nguyên nhân, rủi ro và các phương pháp nhận diện/kiểm chứng chéo (Cross-check).</t>
  </si>
  <si>
    <t xml:space="preserve">Cấu trúc Prompt Tiêu chuẩn &amp; Định dạng</t>
  </si>
  <si>
    <t xml:space="preserve">Phẫu thuật Prompt chuẩn: Khung CREATE (Context - Request - Explanation - Action - Tone - Extras).</t>
  </si>
  <si>
    <t xml:space="preserve">Zero-shot vs Few-shot Prompting: Sức mạnh của việc cung cấp ví dụ mẫu (Examples).</t>
  </si>
  <si>
    <t xml:space="preserve">Ép AI trả về đúng định dạng mong muốn (Markdown, Table, JSON thô, Bullet points).</t>
  </si>
  <si>
    <t xml:space="preserve">Thực hành</t>
  </si>
  <si>
    <t xml:space="preserve">Luyện tập Prompting định dạng dữ liệu</t>
  </si>
  <si>
    <t xml:space="preserve">Kỹ thuật Prompting Nâng cao (Logic &amp; Chuỗi)</t>
  </si>
  <si>
    <t xml:space="preserve">Chain-of-Thought (CoT): Kỹ thuật "suy nghĩ từng bước"</t>
  </si>
  <si>
    <t xml:space="preserve">Prompt Chaining: Kỹ thuật chia nhỏ một Task - Prompt</t>
  </si>
  <si>
    <t xml:space="preserve">Xử lý đứt gãy ngữ cảnh (Continue generating) và duy trì tính nhất quán trong hội thoại dài.</t>
  </si>
  <si>
    <t xml:space="preserve">Luyện tập tư duy suy luận với AI</t>
  </si>
  <si>
    <t xml:space="preserve">Ứng dụng AI trong Học tập &amp; Nghiên cứu</t>
  </si>
  <si>
    <t xml:space="preserve">Kỹ thuật tóm tắt tài liệu vượt quá Context Window (Chia nhỏ tài liệu hoặc nạp file PDF/Docs).</t>
  </si>
  <si>
    <t xml:space="preserve">Kỹ thuật Feynman Prompt: Dùng AI làm "Gia sư" ép sinh viên giải thích lại khái niệm vừa học để kiểm tra độ hiểu bài.</t>
  </si>
  <si>
    <t xml:space="preserve">Xây dựng Rubric để AI tự động chấm điểm, review và gợi ý sửa lỗi cho đoạn code/bài viết của sinh viên.</t>
  </si>
  <si>
    <t xml:space="preserve">Trợ lý Tự học &amp; Đánh giá</t>
  </si>
  <si>
    <t xml:space="preserve">Quản trị Prompt &amp; System Instructions</t>
  </si>
  <si>
    <t xml:space="preserve">System Prompt / Custom Instructions: Cài đặt "tính cách" và "hành vi" mặc định vĩnh viễn cho một phiên AI.</t>
  </si>
  <si>
    <t xml:space="preserve">Tổ chức thư viện Prompt (Prompt Library) sử dụng biến số (Variables) để tái sử dụng lâu dài.</t>
  </si>
  <si>
    <t xml:space="preserve">Cảnh báo Prompt Injection: Các rủi ro bảo mật khi dùng Prompt có chứa dữ liệu từ người dùng bên ngoài.</t>
  </si>
  <si>
    <t xml:space="preserve">Mini project</t>
  </si>
  <si>
    <t xml:space="preserve">Khởi tạo &amp; Trình diễn Prompt Library</t>
  </si>
  <si>
    <t xml:space="preserve">Thi cuối môn</t>
  </si>
  <si>
    <t xml:space="preserve">Thi cuối môn (Thực hành)</t>
  </si>
  <si>
    <t/>
    <r>
      <rPr>
        <b val="true"/>
        <i val="false"/>
        <strike val="false"/>
        <sz val="18"/>
        <color rgb="FF000000"/>
      </rPr>
      <t xml:space="preserve">[MODULE IT-103] - UI/UX Design</t>
    </r>
    <r>
      <rPr>
        <b val="false"/>
        <i val="false"/>
        <strike val="false"/>
        <sz val="18"/>
        <color rgb="FF000000"/>
      </rPr>
      <t xml:space="preserve"> (Thiết kế giao diện/trải nghiệm người dùng)</t>
    </r>
  </si>
  <si>
    <t xml:space="preserve">STT</t>
  </si>
  <si>
    <t xml:space="preserve">Hình thức học</t>
  </si>
  <si>
    <t xml:space="preserve">Session</t>
  </si>
  <si>
    <t xml:space="preserve">Nội dung</t>
  </si>
  <si>
    <t xml:space="preserve">Lesson</t>
  </si>
  <si>
    <t xml:space="preserve">Nội dung chi tiết</t>
  </si>
  <si>
    <t xml:space="preserve">Note</t>
  </si>
  <si>
    <t xml:space="preserve">Lý thuyết</t>
  </si>
  <si>
    <t xml:space="preserve">Tổng quan UI/UX &amp; AI Ideation</t>
  </si>
  <si>
    <t xml:space="preserve">UI vs UX: Sự khác biệt cốt lõi và các nguyên tắc Heuristic cơ bản.</t>
  </si>
  <si>
    <t xml:space="preserve">Phương pháp vẽ luồng người dùng (User Flow) và phác thảo Wireframe.</t>
  </si>
  <si>
    <t xml:space="preserve">Ứng dụng AI trong việc sinh nội dung thực tế cho web (UX Copywriting)</t>
  </si>
  <si>
    <t xml:space="preserve">Nguyên lý thị giác</t>
  </si>
  <si>
    <t xml:space="preserve">Lý thuyết màu sắc và cách sử dụng công cụ AI (Huemint, Khroma) để phối bảng màu</t>
  </si>
  <si>
    <t xml:space="preserve">Nghệ thuật Typography và sử dụng AI (Fontjoy) để ghép cặp font chữ (Font Pairing).</t>
  </si>
  <si>
    <t xml:space="preserve">Hệ thống Lưới (Grid System) và Visual Hierarchy (Phân cấp thị giác).</t>
  </si>
  <si>
    <t xml:space="preserve">Thực hành</t>
  </si>
  <si>
    <t xml:space="preserve">Thực hành tổng hợp - Xây dựng Wireframe với Figma Plugins AI</t>
  </si>
  <si>
    <t xml:space="preserve">Làm chủ Figma &amp; Auto Layout</t>
  </si>
  <si>
    <t xml:space="preserve">Giao diện và các công cụ cốt lõi của Figma (Frames, Shapes, Text, Constraints).</t>
  </si>
  <si>
    <t xml:space="preserve">Sức mạnh của Auto Layout (Flexbox của Designer) - Chìa khóa để chuyển giao sang code CSS ở môn sau.</t>
  </si>
  <si>
    <t xml:space="preserve">Tổ chức Layer và Naming Convention chuẩn mực trong file thiết kế.</t>
  </si>
  <si>
    <t xml:space="preserve">Thực hành tổng hợp - Thực chiến Auto Layout &amp; AI Assets</t>
  </si>
  <si>
    <t xml:space="preserve">Design System &amp; Prototyping</t>
  </si>
  <si>
    <t xml:space="preserve">Tư duy thiết kế Component và Variables (Màu sắc, Font) để quản lý thiết kế quy mô lớn.</t>
  </si>
  <si>
    <t xml:space="preserve">Khái niệm Prototyping: Tạo tương tác chuyển cảnh (Click, Hover, Overlay).</t>
  </si>
  <si>
    <t xml:space="preserve">Sử dụng AI Checker (Attention Insight) đánh giá sự tối ưu của UI</t>
  </si>
  <si>
    <t xml:space="preserve">Thực hành tổng hợp - Giao diện ứng dụng Ecommerce (User)</t>
  </si>
  <si>
    <t xml:space="preserve">Thực hành tổng hợp - Giao diện ứng dụng Ecommerce (Admin)</t>
  </si>
  <si>
    <t xml:space="preserve">Mini project</t>
  </si>
  <si>
    <t xml:space="preserve">Mini project - Thiết kế UI/UX AI-Assisted</t>
  </si>
  <si>
    <t xml:space="preserve">Thi cuối môn</t>
  </si>
  <si>
    <t/>
    <r>
      <rPr>
        <b val="true"/>
        <i val="false"/>
        <strike val="false"/>
        <sz val="18"/>
        <color rgb="FF000000"/>
      </rPr>
      <t xml:space="preserve">[MODULE IT-104] - Web Interface Development</t>
    </r>
    <r>
      <rPr>
        <b val="false"/>
        <i val="false"/>
        <strike val="false"/>
        <sz val="18"/>
        <color rgb="FF000000"/>
      </rPr>
      <t xml:space="preserve"> (Phát triển giao diện web)</t>
    </r>
  </si>
  <si>
    <t xml:space="preserve">STT</t>
  </si>
  <si>
    <t xml:space="preserve">Hình thức học</t>
  </si>
  <si>
    <t xml:space="preserve">Session</t>
  </si>
  <si>
    <t xml:space="preserve">Nội dung</t>
  </si>
  <si>
    <t xml:space="preserve">Lesson</t>
  </si>
  <si>
    <t xml:space="preserve">Nội dung chi tiết</t>
  </si>
  <si>
    <t xml:space="preserve">Note</t>
  </si>
  <si>
    <t xml:space="preserve">Lý thuyết</t>
  </si>
  <si>
    <t xml:space="preserve">Tổng quan về HMTL</t>
  </si>
  <si>
    <t xml:space="preserve">Tổng quan về web</t>
  </si>
  <si>
    <t xml:space="preserve">Tổng quan về HTML</t>
  </si>
  <si>
    <t xml:space="preserve">Cấu trúc 1 trang HTML cơ bản</t>
  </si>
  <si>
    <t xml:space="preserve">Các nhóm thẻ nội dung HTML cơ bản (Tiêu đề, đoạn văn, nội dung, media)</t>
  </si>
  <si>
    <t xml:space="preserve">Cách tạo bảng (Table) trong HTML</t>
  </si>
  <si>
    <t xml:space="preserve">Thực hành</t>
  </si>
  <si>
    <t xml:space="preserve">Thực hành tổng hợp - Xây dựng trang web HTML đầu tiên</t>
  </si>
  <si>
    <t xml:space="preserve">Form &amp; Semantic trong HTML</t>
  </si>
  <si>
    <t xml:space="preserve">Tổng quan về form trong HTML</t>
  </si>
  <si>
    <t xml:space="preserve">Cơ chế hoạt động của form (GET &amp; POST request)</t>
  </si>
  <si>
    <t xml:space="preserve">Các dạng Input type cơ bản</t>
  </si>
  <si>
    <t xml:space="preserve">HTML5 là gì? Các thẻ HTML5 cơ bản</t>
  </si>
  <si>
    <t xml:space="preserve">Semantic trong HTML</t>
  </si>
  <si>
    <t xml:space="preserve">Thực hành tổng hợp - Xây dựng trang web HTML có cấu trúc</t>
  </si>
  <si>
    <t xml:space="preserve">CSS cơ bản (01)</t>
  </si>
  <si>
    <t xml:space="preserve">Tổng quan về CSS, liên kết CSS với HTML</t>
  </si>
  <si>
    <t xml:space="preserve">Các bộ thuộc tính CSS cơ bản (màu sắc, font chữ)</t>
  </si>
  <si>
    <t xml:space="preserve">Tổng quan về bộ chọn CSS</t>
  </si>
  <si>
    <t xml:space="preserve">Thực hành tổng hợp - Xây dựng các thành phần web</t>
  </si>
  <si>
    <t xml:space="preserve">CSS cơ bản (02)</t>
  </si>
  <si>
    <t xml:space="preserve">Tổng quan về đơn vị đo trong CSS (Tương đối vs tuyệt đối)</t>
  </si>
  <si>
    <t xml:space="preserve">Tổng quan về bộ thuộc tính box model</t>
  </si>
  <si>
    <t xml:space="preserve">Bộ thuộc tính position trong CSS</t>
  </si>
  <si>
    <t xml:space="preserve">Cách sử dụng google font</t>
  </si>
  <si>
    <t xml:space="preserve">Thực hành tổng hợp - Xây dựng trang web HTML + CSS có cấu trúc</t>
  </si>
  <si>
    <t xml:space="preserve">CSS Layout (01)</t>
  </si>
  <si>
    <t xml:space="preserve">Tổng quan vệ bộ thuộc tính Flexbox</t>
  </si>
  <si>
    <t xml:space="preserve">Bộ thuộc tính điều chỉnh hướng trong Flexbox</t>
  </si>
  <si>
    <t xml:space="preserve">Bộ thuộc tính căn chỉnh vị trí của phần tử trong Flexbox</t>
  </si>
  <si>
    <t xml:space="preserve">Thực hành tổng hợp - Xây dựng trang web có bố cục</t>
  </si>
  <si>
    <t xml:space="preserve">CSS Layout (02)</t>
  </si>
  <si>
    <t xml:space="preserve">Tổng quan về responsive trên nhiều thiết bị</t>
  </si>
  <si>
    <t xml:space="preserve">Media query</t>
  </si>
  <si>
    <t xml:space="preserve">Desktop first</t>
  </si>
  <si>
    <t xml:space="preserve">Mobile first</t>
  </si>
  <si>
    <t xml:space="preserve">Thực hành tổng hợp - Xây dựng trang web có bố cục tương thích trên nhiều thiết bị</t>
  </si>
  <si>
    <t xml:space="preserve">Mini project</t>
  </si>
  <si>
    <t xml:space="preserve">Mini project - Xây dựng trang web Portforlio (User)</t>
  </si>
  <si>
    <t xml:space="preserve">Hackathon</t>
  </si>
  <si>
    <t xml:space="preserve">Thi giữa môn - HACKATHON</t>
  </si>
  <si>
    <t xml:space="preserve">Tailwind CSS</t>
  </si>
  <si>
    <t xml:space="preserve">Tổng quan về Tailwind? Tại sao tailwind được ưa chuông trong các dự án thực tế</t>
  </si>
  <si>
    <t xml:space="preserve">Cơ chế tiện ích của Tailwind (Utility-first framework) và cách cấu hình CDN/môi trường cơ bản.</t>
  </si>
  <si>
    <t xml:space="preserve">Tra cứu hệ thống class tiện ích cho Box Model, Flexbox, Grid và Responsive trong Tailwind.</t>
  </si>
  <si>
    <t xml:space="preserve">Thực hành tổng hợp - Xây dựng trang web cơ bản với Tailwind</t>
  </si>
  <si>
    <t xml:space="preserve">Tối ưu hóa trải nghiệm người dùng</t>
  </si>
  <si>
    <t xml:space="preserve">Pseudo class là gì?</t>
  </si>
  <si>
    <t xml:space="preserve">Bộ thuộc tính Transition</t>
  </si>
  <si>
    <t xml:space="preserve">Bộ thuộc tính Transform</t>
  </si>
  <si>
    <t xml:space="preserve">Thực hành tổng hợp - Xây dựng trang web tối ưu hóa trải nghiệm</t>
  </si>
  <si>
    <t xml:space="preserve">Kỹ thuật viết Prompt yêu cầu AI tối ưu hóa mã nguồn (CSS Refactoring) và rút gọn độ dài mã CSS.</t>
  </si>
  <si>
    <t xml:space="preserve">Nguyên lý kiểm thử hiển thị giao diện chéo trên các trình duyệt khác nhau (Chrome, Safari, Firefox).</t>
  </si>
  <si>
    <t xml:space="preserve">Sử dụng công cụ W3C Validator để kiểm tra và sửa lỗi các quy chuẩn thẻ viết sai cú pháp.</t>
  </si>
  <si>
    <t xml:space="preserve">Thực hành tổng hợp - Xây dựng trang web với mã nguồn chuẩn W3C, tối ưu hóa trải nghiệm người dùng</t>
  </si>
  <si>
    <t xml:space="preserve">Thực hành tổng hợp - Tổ chức mã nguồn chuẩn doanh nghiệp</t>
  </si>
  <si>
    <t xml:space="preserve">Mini project - Xây dựng giao diện web chuyên nghiệp</t>
  </si>
  <si>
    <t xml:space="preserve">Thi cuối môn</t>
  </si>
  <si>
    <t/>
    <r>
      <rPr>
        <b val="true"/>
        <i val="false"/>
        <strike val="false"/>
        <sz val="18"/>
        <color rgb="FF000000"/>
      </rPr>
      <t xml:space="preserve">[MODULE IT-105] - GIT Version Control</t>
    </r>
    <r>
      <rPr>
        <b val="false"/>
        <i val="false"/>
        <strike val="false"/>
        <sz val="18"/>
        <color rgb="FF000000"/>
      </rPr>
      <t xml:space="preserve"> (Quản lý phiên bản với GIT)</t>
    </r>
  </si>
  <si>
    <t xml:space="preserve">STT</t>
  </si>
  <si>
    <t xml:space="preserve">Hình thức học</t>
  </si>
  <si>
    <t xml:space="preserve">Session</t>
  </si>
  <si>
    <t xml:space="preserve">Nội dung</t>
  </si>
  <si>
    <t xml:space="preserve">Lesson</t>
  </si>
  <si>
    <t xml:space="preserve">Nội dung chi tiết</t>
  </si>
  <si>
    <t xml:space="preserve">Note</t>
  </si>
  <si>
    <t xml:space="preserve">Lý thuyết</t>
  </si>
  <si>
    <t xml:space="preserve">Tổng quan Version Control &amp; Kiến trúc Git</t>
  </si>
  <si>
    <t xml:space="preserve">Hệ thống quản lý phiên bản (VCS) là gì? Sự khác biệt giữa Git (Local) và GitHub/GitLab (Cloud).</t>
  </si>
  <si>
    <t xml:space="preserve">Kiến trúc 3 cây của Git: Working Directory, Staging Area và Repository).</t>
  </si>
  <si>
    <t xml:space="preserve">Vòng đời cơ bản của một file trong Git (Untracked, Modified, Staged, Unmodified).</t>
  </si>
  <si>
    <t xml:space="preserve">Cài đặt Git, cấu hình định danh (git config).</t>
  </si>
  <si>
    <t xml:space="preserve">Chu trình lưu vết cốt lõi: git add, git commit và kiểm tra trạng thái với git status.</t>
  </si>
  <si>
    <t xml:space="preserve">Tạo kho lưu trữ trên GitHub, thực hiện liên kết remote và đẩy code lên Cloud (git push).</t>
  </si>
  <si>
    <t xml:space="preserve">Thực hành</t>
  </si>
  <si>
    <t xml:space="preserve">Thực hành tổng hợp - Luyện tập chu trình GIT cơ bản</t>
  </si>
  <si>
    <t xml:space="preserve">Chiến lược phân nhánh</t>
  </si>
  <si>
    <t xml:space="preserve">Tại sao phải tạo Nhánh (Branch)? Tư duy tách biệt code đang chạy ổn định (main) và code đang phát triển tính năng mới.</t>
  </si>
  <si>
    <t xml:space="preserve">Các lệnh thao tác với nhánh: Tạo, di chuyển, xóa (git branch, git checkout / git switch).</t>
  </si>
  <si>
    <t xml:space="preserve">Nguyên lý Trộn mã nguồn (Merging): Fast-forward merge và 3-way merge.</t>
  </si>
  <si>
    <t xml:space="preserve">Thực hành tổng hợp - Luyện tập làm việc với nhánh</t>
  </si>
  <si>
    <t xml:space="preserve">Quy trình làm việc nhóm &amp; Xử lý xung đột</t>
  </si>
  <si>
    <t xml:space="preserve">Quy trình phối hợp nhóm: Fork, Clone, Fetch, và Pull. Sự khác biệt giữa git fetch và git pull.</t>
  </si>
  <si>
    <t xml:space="preserve">"Merge Conflict": Nguyên nhân xảy ra xung đột khi 2 người cùng sửa 1 dòng code.</t>
  </si>
  <si>
    <t xml:space="preserve">Quy trình chuẩn doanh nghiệp: Khái niệm Pull Request (PR) và Code Review trước khi Merge.</t>
  </si>
  <si>
    <t xml:space="preserve">Thực hành tổng hợp - Giả lập làm việc nhóm chung mã nguồn</t>
  </si>
  <si>
    <t xml:space="preserve">GIT nâng cao</t>
  </si>
  <si>
    <t xml:space="preserve">Cách bảo mật dự án: Thiết lập file .gitignore để tránh đẩy file nhạy cảm (như mật khẩu, node_modules) lên mạng.</t>
  </si>
  <si>
    <t xml:space="preserve">Chuẩn viết Commit Doanh nghiệp (Conventional Commits) và cách dùng AI IDE (Cursor) để tự động đọc Diff và sinh ra Commit Message chuẩn xác.</t>
  </si>
  <si>
    <t xml:space="preserve">Đọc log (git log), tạm cất code (git stash), và hoàn tác (git revert vs git reset).</t>
  </si>
  <si>
    <t xml:space="preserve">Thực hành tổng hợp - Các thao tác GIT nâng cao</t>
  </si>
  <si>
    <t xml:space="preserve">Mini project</t>
  </si>
  <si>
    <t xml:space="preserve">Mini project - Giả lập làm việc nhóm và quản lý mã nguồn</t>
  </si>
  <si>
    <t xml:space="preserve">Thi cuối môn</t>
  </si>
  <si>
    <t/>
    <r>
      <rPr>
        <b val="true"/>
        <i val="false"/>
        <strike val="false"/>
        <sz val="18"/>
        <color rgb="FF000000"/>
      </rPr>
      <t xml:space="preserve">[MODULE IT-106] - Web Application Development</t>
    </r>
    <r>
      <rPr>
        <b val="false"/>
        <i val="false"/>
        <strike val="false"/>
        <sz val="18"/>
        <color rgb="FF000000"/>
      </rPr>
      <t xml:space="preserve"> (Phát triển ứng dụng web)</t>
    </r>
  </si>
  <si>
    <t xml:space="preserve">STT</t>
  </si>
  <si>
    <t xml:space="preserve">Hình thức học</t>
  </si>
  <si>
    <t xml:space="preserve">Session</t>
  </si>
  <si>
    <t xml:space="preserve">Nội dung</t>
  </si>
  <si>
    <t xml:space="preserve">Lesson</t>
  </si>
  <si>
    <t xml:space="preserve">Nội dung chi tiết</t>
  </si>
  <si>
    <t xml:space="preserve">Note</t>
  </si>
  <si>
    <t xml:space="preserve">Lý thuyết</t>
  </si>
  <si>
    <t xml:space="preserve">Tổng quan về Javascript</t>
  </si>
  <si>
    <t xml:space="preserve">Tổng quan về biến trong JS (Khai báo, quy tắc đặt tên biến)</t>
  </si>
  <si>
    <t xml:space="preserve">Input và output trong Javascript</t>
  </si>
  <si>
    <t xml:space="preserve">Kiểu dữ liệu nguyên thủy trong JS</t>
  </si>
  <si>
    <t xml:space="preserve">Bao gồm cả giới thiệu null &amp; Undefined</t>
  </si>
  <si>
    <t xml:space="preserve">Chuỗi và Số trong Javascript</t>
  </si>
  <si>
    <t xml:space="preserve">Chuyển đổi kiểu dữ liệu trong Javascript</t>
  </si>
  <si>
    <t xml:space="preserve">Có bài đọc thêm về Math.Object</t>
  </si>
  <si>
    <t xml:space="preserve">Thực hành</t>
  </si>
  <si>
    <t xml:space="preserve">Luyện tập tổng hợp - Tổng quan về biến và cách làm việc với biến trong JS</t>
  </si>
  <si>
    <t xml:space="preserve">Cấu trúc điều kiện rẽ nhánh</t>
  </si>
  <si>
    <t xml:space="preserve">Tổng quan về boolean, toán tử so sánh &amp; logic trong JS</t>
  </si>
  <si>
    <t xml:space="preserve">Mệnh đề if...else if...else trong JS</t>
  </si>
  <si>
    <t xml:space="preserve">Switch/case</t>
  </si>
  <si>
    <t xml:space="preserve">Luyện tập tổng hợp - Câu điều kiện rẽ nhánh</t>
  </si>
  <si>
    <t xml:space="preserve">Vòng lặp</t>
  </si>
  <si>
    <t xml:space="preserve">Tổng quan về vòng lặp, vòng lặp for...loop</t>
  </si>
  <si>
    <t xml:space="preserve">Vòng lặp while...loop</t>
  </si>
  <si>
    <t xml:space="preserve">Vòng lặp do...while</t>
  </si>
  <si>
    <t xml:space="preserve">Luyện tập tổng hợp - Vòng lặp</t>
  </si>
  <si>
    <t xml:space="preserve">Mảng</t>
  </si>
  <si>
    <t xml:space="preserve">Tổng quan về mảng trong JS</t>
  </si>
  <si>
    <t xml:space="preserve">Thao tác cơ bản làm việc với mảng</t>
  </si>
  <si>
    <t xml:space="preserve">Phương thức có sẵn (built-in array methods) làm việc với mảng</t>
  </si>
  <si>
    <t xml:space="preserve">Luyện tập tổng hợp - Ứng dụng menu quản lý danh sách</t>
  </si>
  <si>
    <t xml:space="preserve">Hàm</t>
  </si>
  <si>
    <t xml:space="preserve">Giới thiệu về hàm trong Javascript</t>
  </si>
  <si>
    <t xml:space="preserve">Tham số và đối số</t>
  </si>
  <si>
    <t xml:space="preserve">Từ khoá return</t>
  </si>
  <si>
    <t xml:space="preserve">Có bài đọc thêm mở rộng về hàm nâng cao (HOF)</t>
  </si>
  <si>
    <t xml:space="preserve">Đối tượng</t>
  </si>
  <si>
    <t xml:space="preserve">Tổng quan về đối tượng trong JS</t>
  </si>
  <si>
    <t xml:space="preserve">Thao tác cơ bản làm việc với đối tượng trong JS</t>
  </si>
  <si>
    <t xml:space="preserve">Mảng đối tượng</t>
  </si>
  <si>
    <t xml:space="preserve">Luyện tập tổng hợp - Ứng dụng menu quản lý danh sách các đối tượng</t>
  </si>
  <si>
    <t xml:space="preserve">Mini project</t>
  </si>
  <si>
    <t xml:space="preserve">Mini project - Ứng dụng tổng hợp</t>
  </si>
  <si>
    <t xml:space="preserve">Hackathon</t>
  </si>
  <si>
    <t xml:space="preserve">Thi giữa môn - HACKATHON</t>
  </si>
  <si>
    <t xml:space="preserve">DOM</t>
  </si>
  <si>
    <t xml:space="preserve">Tổng quan về DOM, cách thức truy xuất các phần tử HTML trong DOM</t>
  </si>
  <si>
    <t xml:space="preserve">Bộ thuộc tính làm việc với nội dung của phần tử HTML (text, style)</t>
  </si>
  <si>
    <t xml:space="preserve">Di chuyển giữa các phần tử HTML trong cây DOM</t>
  </si>
  <si>
    <t xml:space="preserve">Luyện tập tổng hợp - Ứng dụng DOM hiển thị danh sách đơn giản</t>
  </si>
  <si>
    <t xml:space="preserve">Event</t>
  </si>
  <si>
    <t xml:space="preserve">Tổng quan về Event, cách gắn sự kiện cho các phần tử HTML</t>
  </si>
  <si>
    <t xml:space="preserve">Mouse &amp; Keyboard events</t>
  </si>
  <si>
    <t xml:space="preserve">Form submit event</t>
  </si>
  <si>
    <t xml:space="preserve">Luyện tập tổng hợp - Ứng dụng nghiệp vụ cơ bản</t>
  </si>
  <si>
    <t xml:space="preserve">Browser Storage</t>
  </si>
  <si>
    <t xml:space="preserve">Tổng quan về browser storage</t>
  </si>
  <si>
    <t xml:space="preserve">Local storage</t>
  </si>
  <si>
    <t xml:space="preserve">Luyện tập tổng hợp lưu trữ dữ liệu với local storage</t>
  </si>
  <si>
    <t xml:space="preserve">Luyện tập tổng hợp - Ứng dụng dynamic kết hợp lưu trữ dữ liệu</t>
  </si>
  <si>
    <t xml:space="preserve">Cơ chế bất đồng bộ trong JS</t>
  </si>
  <si>
    <t xml:space="preserve">Tổng quan về cơ chế bất đồng bộ trong JS</t>
  </si>
  <si>
    <t xml:space="preserve">Xử lý cơ chế bất đồng bộ - Promise</t>
  </si>
  <si>
    <t xml:space="preserve">Cú pháp hiện đại - Async/await</t>
  </si>
  <si>
    <t xml:space="preserve">Luyện tập tổng hợp - Ứng dụng tổng hợp</t>
  </si>
  <si>
    <t xml:space="preserve">Fetch API</t>
  </si>
  <si>
    <t xml:space="preserve">Các phương thức HTTP (GET, POST, PUT, DELETE) và khái niệm RESTful API.</t>
  </si>
  <si>
    <t xml:space="preserve">Cú pháp sử dụng fetch() lấy dữ liệu từ một Server thực tế.</t>
  </si>
  <si>
    <t xml:space="preserve">Giả lập server trên JSONPlaceholder hoặc MockAPI.io.</t>
  </si>
  <si>
    <t xml:space="preserve">27, 28, 29, 30, 31</t>
  </si>
  <si>
    <t xml:space="preserve">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</si>
</sst>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2"/>
      <color theme="1"/>
      <name val="Calibri"/>
      <family val="2"/>
      <scheme val="minor"/>
    </font>
    <font>
      <b val="true"/>
      <sz val="20"/>
      <color rgb="FF000000"/>
      <name val="Calibri"/>
      <family val="2"/>
      <scheme val="minor"/>
    </font>
    <font>
      <sz val="10"/>
      <color rgb="FF000000"/>
      <name val="Calibri"/>
      <family val="2"/>
      <scheme val="minor"/>
    </font>
    <font>
      <b val="true"/>
      <sz val="24"/>
      <color rgb="FF000000"/>
      <name val="Calibri"/>
      <family val="2"/>
      <scheme val="minor"/>
    </font>
    <font>
      <sz val="24"/>
      <color rgb="FF000000"/>
      <name val="Calibri"/>
      <family val="2"/>
      <scheme val="minor"/>
    </font>
    <font>
      <b val="true"/>
      <sz val="14"/>
      <color rgb="FF000000"/>
      <name val="Calibri"/>
      <family val="2"/>
      <scheme val="minor"/>
    </font>
    <font>
      <sz val="14"/>
      <color rgb="FF000000"/>
      <name val="Calibri"/>
      <family val="2"/>
      <scheme val="minor"/>
    </font>
    <font>
      <b val="true"/>
      <sz val="18"/>
      <color rgb="FF000000"/>
      <name val="Calibri"/>
      <family val="2"/>
      <scheme val="minor"/>
    </font>
    <font>
      <sz val="14"/>
      <color rgb="FF1F2328"/>
      <name val="Calibri"/>
      <family val="2"/>
      <scheme val="minor"/>
    </font>
    <font>
      <b val="true"/>
      <i val="true"/>
      <sz val="14"/>
      <color rgb="FF000000"/>
      <name val="Calibri"/>
      <family val="2"/>
      <scheme val="minor"/>
    </font>
    <font>
      <i val="true"/>
      <sz val="14"/>
      <color rgb="FF000000"/>
      <name val="Calibri"/>
      <family val="2"/>
      <scheme val="minor"/>
    </font>
    <font>
      <b val="true"/>
      <sz val="24"/>
      <color rgb="FFFFFFFF"/>
      <name val="Calibri"/>
      <family val="2"/>
      <scheme val="minor"/>
    </font>
    <font>
      <sz val="14"/>
      <color rgb="FFFFFFFF"/>
      <name val="Calibri"/>
      <family val="2"/>
      <scheme val="minor"/>
    </font>
    <font>
      <b val="true"/>
      <sz val="14"/>
      <color rgb="FFFFFFFF"/>
      <name val="Calibri"/>
      <family val="2"/>
      <scheme val="minor"/>
    </font>
    <font>
      <b val="true"/>
      <sz val="18"/>
      <color rgb="FFFFFFFF"/>
      <name val="Calibri"/>
      <family val="2"/>
      <scheme val="minor"/>
    </font>
    <font>
      <sz val="18"/>
      <color rgb="FF000000"/>
      <name val="Calibri"/>
      <family val="2"/>
      <scheme val="minor"/>
    </font>
    <font>
      <b val="true"/>
      <sz val="10"/>
      <color rgb="FF000000"/>
      <name val="Calibri"/>
      <family val="2"/>
      <scheme val="minor"/>
    </font>
  </fonts>
  <fills count="47">
    <fill>
      <patternFill patternType="none">
        <fgColor/>
        <bgColor/>
      </patternFill>
    </fill>
    <fill>
      <patternFill patternType="gray125">
        <fgColor/>
        <bgColor/>
      </patternFill>
    </fill>
    <fill>
      <patternFill patternType="solid">
        <fgColor rgb="FFFAF1D1"/>
        <bgColor/>
      </patternFill>
    </fill>
    <fill>
      <patternFill patternType="solid">
        <fgColor rgb="FFE1EAFF"/>
        <bgColor/>
      </patternFill>
    </fill>
    <fill>
      <patternFill patternType="solid">
        <fgColor rgb="FFFED4A4"/>
        <bgColor/>
      </patternFill>
    </fill>
    <fill>
      <patternFill patternType="solid">
        <fgColor rgb="FFD83931"/>
        <bgColor/>
      </patternFill>
    </fill>
    <fill>
      <patternFill patternType="solid">
        <fgColor rgb="FFFAF1D1"/>
        <bgColor/>
      </patternFill>
    </fill>
    <fill>
      <patternFill patternType="solid">
        <fgColor rgb="FFE1EAFF"/>
        <bgColor/>
      </patternFill>
    </fill>
    <fill>
      <patternFill patternType="solid">
        <fgColor rgb="FFFED4A4"/>
        <bgColor/>
      </patternFill>
    </fill>
    <fill>
      <patternFill patternType="solid">
        <fgColor rgb="FFD83931"/>
        <bgColor/>
      </patternFill>
    </fill>
    <fill>
      <patternFill patternType="solid">
        <fgColor rgb="FFFAF1D1"/>
        <bgColor/>
      </patternFill>
    </fill>
    <fill>
      <patternFill patternType="solid">
        <fgColor rgb="FFE1EAFF"/>
        <bgColor/>
      </patternFill>
    </fill>
    <fill>
      <patternFill patternType="solid">
        <fgColor rgb="FFFED4A4"/>
        <bgColor/>
      </patternFill>
    </fill>
    <fill>
      <patternFill patternType="solid">
        <fgColor rgb="FFD83931"/>
        <bgColor/>
      </patternFill>
    </fill>
    <fill>
      <patternFill patternType="solid">
        <fgColor rgb="FFFAF1D1"/>
        <bgColor/>
      </patternFill>
    </fill>
    <fill>
      <patternFill patternType="solid">
        <fgColor rgb="FFE1EAFF"/>
        <bgColor/>
      </patternFill>
    </fill>
    <fill>
      <patternFill patternType="solid">
        <fgColor rgb="FFFED4A4"/>
        <bgColor/>
      </patternFill>
    </fill>
    <fill>
      <patternFill patternType="solid">
        <fgColor rgb="FFD83931"/>
        <bgColor/>
      </patternFill>
    </fill>
    <fill>
      <patternFill patternType="solid">
        <fgColor rgb="FFFAF1D1"/>
        <bgColor/>
      </patternFill>
    </fill>
    <fill>
      <patternFill patternType="solid">
        <fgColor rgb="FFE1EAFF"/>
        <bgColor/>
      </patternFill>
    </fill>
    <fill>
      <patternFill patternType="solid">
        <fgColor rgb="FFFED4A4"/>
        <bgColor/>
      </patternFill>
    </fill>
    <fill>
      <patternFill patternType="solid">
        <fgColor rgb="FFD83931"/>
        <bgColor/>
      </patternFill>
    </fill>
    <fill>
      <patternFill patternType="solid">
        <fgColor rgb="FFFFBA6B"/>
        <bgColor/>
      </patternFill>
    </fill>
    <fill>
      <patternFill patternType="solid">
        <fgColor rgb="FFFAF1D1"/>
        <bgColor/>
      </patternFill>
    </fill>
    <fill>
      <patternFill patternType="solid">
        <fgColor rgb="FFEEF6C6"/>
        <bgColor/>
      </patternFill>
    </fill>
    <fill>
      <patternFill patternType="solid">
        <fgColor rgb="FFFBBFBC"/>
        <bgColor/>
      </patternFill>
    </fill>
    <fill>
      <patternFill patternType="solid">
        <fgColor rgb="FFFFBA6B"/>
        <bgColor/>
      </patternFill>
    </fill>
    <fill>
      <patternFill patternType="solid">
        <fgColor rgb="FFFAF1D1"/>
        <bgColor/>
      </patternFill>
    </fill>
    <fill>
      <patternFill patternType="solid">
        <fgColor rgb="FFD9F5D6"/>
        <bgColor/>
      </patternFill>
    </fill>
    <fill>
      <patternFill patternType="solid">
        <fgColor rgb="FFFBBFBC"/>
        <bgColor/>
      </patternFill>
    </fill>
    <fill>
      <patternFill patternType="solid">
        <fgColor rgb="FFFFBA6B"/>
        <bgColor/>
      </patternFill>
    </fill>
    <fill>
      <patternFill patternType="solid">
        <fgColor rgb="FFFAF1D1"/>
        <bgColor/>
      </patternFill>
    </fill>
    <fill>
      <patternFill patternType="solid">
        <fgColor rgb="FFD9F5D6"/>
        <bgColor/>
      </patternFill>
    </fill>
    <fill>
      <patternFill patternType="solid">
        <fgColor rgb="FFFBBFBC"/>
        <bgColor/>
      </patternFill>
    </fill>
    <fill>
      <patternFill patternType="solid">
        <fgColor rgb="FFFFBA6B"/>
        <bgColor/>
      </patternFill>
    </fill>
    <fill>
      <patternFill patternType="solid">
        <fgColor rgb="FFFAF1D1"/>
        <bgColor/>
      </patternFill>
    </fill>
    <fill>
      <patternFill patternType="solid">
        <fgColor rgb="FFD9F5D6"/>
        <bgColor/>
      </patternFill>
    </fill>
    <fill>
      <patternFill patternType="solid">
        <fgColor rgb="FFFBBFBC"/>
        <bgColor/>
      </patternFill>
    </fill>
    <fill>
      <patternFill patternType="solid">
        <fgColor rgb="FFFFBA6B"/>
        <bgColor/>
      </patternFill>
    </fill>
    <fill>
      <patternFill patternType="solid">
        <fgColor rgb="FFFAF1D1"/>
        <bgColor/>
      </patternFill>
    </fill>
    <fill>
      <patternFill patternType="solid">
        <fgColor rgb="FFD9F5D6"/>
        <bgColor/>
      </patternFill>
    </fill>
    <fill>
      <patternFill patternType="solid">
        <fgColor rgb="FFFBBFBC"/>
        <bgColor/>
      </patternFill>
    </fill>
    <fill>
      <patternFill patternType="solid">
        <fgColor rgb="FFFFBA6B"/>
        <bgColor/>
      </patternFill>
    </fill>
    <fill>
      <patternFill patternType="solid">
        <fgColor rgb="FFFAF1D1"/>
        <bgColor/>
      </patternFill>
    </fill>
    <fill>
      <patternFill patternType="solid">
        <fgColor rgb="FFD9F5D6"/>
        <bgColor/>
      </patternFill>
    </fill>
    <fill>
      <patternFill patternType="solid">
        <fgColor rgb="FFFBBFBC"/>
        <bgColor/>
      </patternFill>
    </fill>
    <fill>
      <patternFill patternType="solid">
        <fgColor rgb="FFFDDDEF"/>
        <bgColor/>
      </patternFill>
    </fill>
  </fills>
  <borders count="60">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351">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 fillId="3" fontId="3" numFmtId="0" xfId="0">
      <alignment vertical="center"/>
    </xf>
    <xf applyAlignment="true" applyBorder="false" applyFill="true" applyFont="true" applyNumberFormat="false" applyProtection="false" borderId="1" fillId="3" fontId="6" numFmtId="0" xfId="0">
      <alignment horizontal="left" vertical="center" wrapText="true"/>
    </xf>
    <xf applyAlignment="true" applyBorder="false" applyFill="true" applyFont="true" applyNumberFormat="false" applyProtection="false" borderId="1" fillId="4" fontId="7" numFmtId="0" xfId="0">
      <alignment horizontal="center" vertical="center"/>
    </xf>
    <xf applyAlignment="true" applyBorder="false" applyFill="true" applyFont="true" applyNumberFormat="false" applyProtection="false" borderId="1" fillId="4" fontId="7" numFmtId="0" xfId="0">
      <alignment horizontal="center" vertical="center"/>
    </xf>
    <xf applyAlignment="true" applyBorder="false" applyFill="true" applyFont="true" applyNumberFormat="false" applyProtection="false" borderId="2" fillId="4" fontId="7" numFmtId="0" xfId="0">
      <alignment horizontal="center" vertical="center"/>
    </xf>
    <xf applyAlignment="true" applyBorder="false" applyFill="true" applyFont="true" applyNumberFormat="false" applyProtection="false" borderId="3" fillId="4" fontId="7" numFmtId="0" xfId="0">
      <alignment horizontal="center" vertical="center"/>
    </xf>
    <xf applyAlignment="true" applyBorder="false" applyFill="true" applyFont="true" applyNumberFormat="false" applyProtection="false" borderId="1" fillId="4" fontId="7" numFmtId="0" xfId="0">
      <alignment horizontal="center" vertical="center" wrapText="true"/>
    </xf>
    <xf applyAlignment="true" applyBorder="false" applyFill="true" applyFont="true" applyNumberFormat="false" applyProtection="false" borderId="1" fillId="4" fontId="7" numFmtId="0" xfId="0">
      <alignment horizontal="center" vertical="center" wrapText="true"/>
    </xf>
    <xf applyAlignment="true" applyBorder="false" applyFill="true" applyFont="true" applyNumberFormat="false" applyProtection="false" borderId="4" fillId="4" fontId="7" numFmtId="0" xfId="0">
      <alignment horizontal="center" vertical="center"/>
    </xf>
    <xf applyAlignment="true" applyBorder="false" applyFill="false" applyFont="true" applyNumberFormat="false" applyProtection="false" borderId="1" fillId="0" fontId="6" numFmtId="0" xfId="0">
      <alignment horizontal="center" vertical="center"/>
    </xf>
    <xf applyAlignment="true" applyBorder="false" applyFill="false" applyFont="true" applyNumberFormat="false" applyProtection="false" borderId="1" fillId="0" fontId="5" numFmtId="0" xfId="0">
      <alignment horizontal="center" vertical="center"/>
    </xf>
    <xf applyAlignment="true" applyBorder="false" applyFill="false" applyFont="true" applyNumberFormat="false" applyProtection="false" borderId="1" fillId="0" fontId="5" numFmtId="0" xfId="0">
      <alignment horizontal="center" vertical="center"/>
    </xf>
    <xf applyAlignment="true" applyBorder="false" applyFill="false" applyFont="true" applyNumberFormat="false" applyProtection="false" borderId="1" fillId="0" fontId="5" numFmtId="0" xfId="0">
      <alignment vertical="center" wrapText="true"/>
    </xf>
    <xf applyAlignment="true" applyBorder="false" applyFill="false" applyFont="true" applyNumberFormat="false" applyProtection="false" borderId="2" fillId="0" fontId="6" numFmtId="0" xfId="0">
      <alignment vertical="center" wrapText="true"/>
    </xf>
    <xf applyAlignment="true" applyBorder="false" applyFill="false" applyFont="true" applyNumberFormat="false" applyProtection="false" borderId="1" fillId="0" fontId="8" numFmtId="0" xfId="0">
      <alignment vertical="center" wrapText="true"/>
    </xf>
    <xf applyAlignment="true" applyBorder="false" applyFill="false" applyFont="true" applyNumberFormat="false" applyProtection="false" borderId="3" fillId="0" fontId="6" numFmtId="0" xfId="0">
      <alignment vertical="center" wrapText="true"/>
    </xf>
    <xf applyAlignment="true" applyBorder="false" applyFill="false" applyFont="true" applyNumberFormat="false" applyProtection="false" borderId="1" fillId="0" fontId="6" numFmtId="0" xfId="0">
      <alignment horizontal="center" vertical="center"/>
    </xf>
    <xf applyAlignment="true" applyBorder="false" applyFill="false" applyFont="true" applyNumberFormat="false" applyProtection="false" borderId="1" fillId="0" fontId="6" numFmtId="0" xfId="0">
      <alignment vertical="center" wrapText="true"/>
    </xf>
    <xf applyAlignment="true" applyBorder="false" applyFill="false" applyFont="true" applyNumberFormat="false" applyProtection="false" borderId="0" fillId="0" fontId="8" numFmtId="0" xfId="0">
      <alignment vertical="center" wrapText="true"/>
    </xf>
    <xf applyAlignment="true" applyBorder="false" applyFill="false" applyFont="true" applyNumberFormat="false" applyProtection="false" borderId="1" fillId="0" fontId="6" numFmtId="0" xfId="0">
      <alignment vertical="center" wrapText="true"/>
    </xf>
    <xf applyAlignment="true" applyBorder="false" applyFill="true" applyFont="true" applyNumberFormat="false" applyProtection="false" borderId="1" fillId="5" fontId="11" numFmtId="0" xfId="0">
      <alignment horizontal="left" vertical="center"/>
    </xf>
    <xf applyAlignment="true" applyBorder="false" applyFill="true" applyFont="true" applyNumberFormat="false" applyProtection="false" borderId="1" fillId="5" fontId="11" numFmtId="0" xfId="0">
      <alignment horizontal="left" vertical="center"/>
    </xf>
    <xf applyAlignment="true" applyBorder="false" applyFill="true" applyFont="true" applyNumberFormat="false" applyProtection="false" borderId="1" fillId="5" fontId="13" numFmtId="0" xfId="0">
      <alignment horizontal="left" vertical="center" wrapText="true"/>
    </xf>
    <xf applyAlignment="true" applyBorder="false" applyFill="true" applyFont="true" applyNumberFormat="false" applyProtection="false" borderId="1" fillId="5" fontId="13" numFmtId="0" xfId="0">
      <alignment horizontal="left" vertical="center"/>
    </xf>
    <xf applyAlignment="true" applyBorder="false" applyFill="true" applyFont="true" applyNumberFormat="false" applyProtection="false" borderId="1" fillId="5" fontId="14" numFmtId="0" xfId="0">
      <alignment horizontal="center" vertical="center"/>
    </xf>
    <xf applyAlignment="true" applyBorder="false" applyFill="true" applyFont="true" applyNumberFormat="false" applyProtection="false" borderId="0" fillId="6" fontId="1"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5" fillId="7" fontId="3" numFmtId="0" xfId="0">
      <alignment vertical="center"/>
    </xf>
    <xf applyAlignment="true" applyBorder="false" applyFill="true" applyFont="true" applyNumberFormat="false" applyProtection="false" borderId="5" fillId="7" fontId="5" numFmtId="0" xfId="0">
      <alignment horizontal="left" vertical="center" wrapText="true"/>
    </xf>
    <xf applyAlignment="true" applyBorder="false" applyFill="true" applyFont="true" applyNumberFormat="false" applyProtection="false" borderId="5" fillId="7" fontId="6" numFmtId="0" xfId="0">
      <alignment horizontal="left" vertical="center" wrapText="true"/>
    </xf>
    <xf applyAlignment="true" applyBorder="false" applyFill="true" applyFont="true" applyNumberFormat="false" applyProtection="false" borderId="5" fillId="8" fontId="5" numFmtId="0" xfId="0">
      <alignment horizontal="center" vertical="center"/>
    </xf>
    <xf applyAlignment="true" applyBorder="false" applyFill="true" applyFont="true" applyNumberFormat="false" applyProtection="false" borderId="5" fillId="8" fontId="5" numFmtId="0" xfId="0">
      <alignment horizontal="center" vertical="center"/>
    </xf>
    <xf applyAlignment="true" applyBorder="false" applyFill="true" applyFont="true" applyNumberFormat="false" applyProtection="false" borderId="5" fillId="8" fontId="5" numFmtId="0" xfId="0">
      <alignment horizontal="center" vertical="center" wrapText="true"/>
    </xf>
    <xf applyAlignment="true" applyBorder="false" applyFill="true" applyFont="true" applyNumberFormat="false" applyProtection="false" borderId="5" fillId="8" fontId="5" numFmtId="0" xfId="0">
      <alignment horizontal="center" vertical="center" wrapText="true"/>
    </xf>
    <xf applyAlignment="true" applyBorder="false" applyFill="false" applyFont="true" applyNumberFormat="false" applyProtection="false" borderId="6" fillId="0" fontId="6" numFmtId="0" xfId="0">
      <alignment horizontal="center" vertical="center"/>
    </xf>
    <xf applyAlignment="true" applyBorder="false" applyFill="false" applyFont="true" applyNumberFormat="false" applyProtection="false" borderId="6" fillId="0" fontId="5" numFmtId="0" xfId="0">
      <alignment horizontal="center" vertical="center"/>
    </xf>
    <xf applyAlignment="true" applyBorder="false" applyFill="false" applyFont="true" applyNumberFormat="false" applyProtection="false" borderId="6" fillId="0" fontId="5" numFmtId="0" xfId="0">
      <alignment horizontal="center" vertical="center"/>
    </xf>
    <xf applyAlignment="true" applyBorder="false" applyFill="false" applyFont="true" applyNumberFormat="false" applyProtection="false" borderId="6" fillId="0" fontId="5" numFmtId="0" xfId="0">
      <alignment vertical="center" wrapText="true"/>
    </xf>
    <xf applyAlignment="true" applyBorder="false" applyFill="false" applyFont="true" applyNumberFormat="false" applyProtection="false" borderId="6" fillId="0" fontId="6" numFmtId="0" xfId="0">
      <alignment vertical="center" wrapText="true"/>
    </xf>
    <xf applyAlignment="true" applyBorder="false" applyFill="false" applyFont="true" applyNumberFormat="false" applyProtection="false" borderId="6" fillId="0" fontId="6" numFmtId="0" xfId="0">
      <alignment vertical="center" wrapText="true"/>
    </xf>
    <xf applyAlignment="true" applyBorder="false" applyFill="false" applyFont="true" applyNumberFormat="false" applyProtection="false" borderId="6" fillId="0" fontId="6" numFmtId="0" xfId="0">
      <alignment horizontal="center" vertical="center"/>
    </xf>
    <xf applyAlignment="true" applyBorder="false" applyFill="false" applyFont="true" applyNumberFormat="false" applyProtection="false" borderId="5" fillId="0" fontId="6" numFmtId="0" xfId="0">
      <alignment horizontal="center" vertical="center"/>
    </xf>
    <xf applyAlignment="true" applyBorder="false" applyFill="false" applyFont="true" applyNumberFormat="false" applyProtection="false" borderId="5" fillId="0" fontId="5" numFmtId="0" xfId="0">
      <alignment horizontal="center" vertical="center"/>
    </xf>
    <xf applyAlignment="true" applyBorder="false" applyFill="false" applyFont="true" applyNumberFormat="false" applyProtection="false" borderId="5" fillId="0" fontId="5" numFmtId="0" xfId="0">
      <alignment vertical="center" wrapText="true"/>
    </xf>
    <xf applyAlignment="true" applyBorder="false" applyFill="false" applyFont="true" applyNumberFormat="false" applyProtection="false" borderId="5" fillId="0" fontId="6" numFmtId="0" xfId="0">
      <alignment vertical="center" wrapText="true"/>
    </xf>
    <xf applyAlignment="true" applyBorder="false" applyFill="true" applyFont="true" applyNumberFormat="false" applyProtection="false" borderId="5" fillId="9" fontId="11" numFmtId="0" xfId="0">
      <alignment horizontal="left" vertical="center"/>
    </xf>
    <xf applyAlignment="true" applyBorder="false" applyFill="true" applyFont="true" applyNumberFormat="false" applyProtection="false" borderId="5" fillId="9" fontId="13" numFmtId="0" xfId="0">
      <alignment horizontal="left" vertical="center" wrapText="true"/>
    </xf>
    <xf applyAlignment="true" applyBorder="false" applyFill="true" applyFont="true" applyNumberFormat="false" applyProtection="false" borderId="5" fillId="9" fontId="14" numFmtId="0" xfId="0">
      <alignment horizontal="center" vertical="center" wrapText="true"/>
    </xf>
    <xf applyAlignment="true" applyBorder="false" applyFill="true" applyFont="true" applyNumberFormat="false" applyProtection="false" borderId="0" fillId="10" fontId="1" numFmtId="0"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7" fillId="11" fontId="3" numFmtId="0" xfId="0">
      <alignment vertical="center"/>
    </xf>
    <xf applyAlignment="true" applyBorder="false" applyFill="true" applyFont="true" applyNumberFormat="false" applyProtection="false" borderId="7" fillId="11" fontId="6" numFmtId="0" xfId="0">
      <alignment horizontal="left" vertical="center" wrapText="true"/>
    </xf>
    <xf applyAlignment="true" applyBorder="false" applyFill="true" applyFont="true" applyNumberFormat="false" applyProtection="false" borderId="8" fillId="11" fontId="6" numFmtId="0" xfId="0">
      <alignment horizontal="left" vertical="center" wrapText="true"/>
    </xf>
    <xf applyAlignment="true" applyBorder="false" applyFill="true" applyFont="true" applyNumberFormat="false" applyProtection="false" borderId="7" fillId="12" fontId="5" numFmtId="0" xfId="0">
      <alignment horizontal="center" vertical="center"/>
    </xf>
    <xf applyAlignment="true" applyBorder="false" applyFill="true" applyFont="true" applyNumberFormat="false" applyProtection="false" borderId="7" fillId="12" fontId="5" numFmtId="0" xfId="0">
      <alignment horizontal="center" vertical="center"/>
    </xf>
    <xf applyAlignment="true" applyBorder="false" applyFill="true" applyFont="true" applyNumberFormat="false" applyProtection="false" borderId="9" fillId="12" fontId="5" numFmtId="0" xfId="0">
      <alignment horizontal="center" vertical="center" wrapText="true"/>
    </xf>
    <xf applyAlignment="true" applyBorder="false" applyFill="true" applyFont="true" applyNumberFormat="false" applyProtection="false" borderId="7" fillId="12" fontId="5" numFmtId="0" xfId="0">
      <alignment horizontal="center" vertical="center" wrapText="true"/>
    </xf>
    <xf applyAlignment="true" applyBorder="false" applyFill="true" applyFont="true" applyNumberFormat="false" applyProtection="false" borderId="8" fillId="12" fontId="5" numFmtId="0" xfId="0">
      <alignment horizontal="center" vertical="center"/>
    </xf>
    <xf applyAlignment="true" applyBorder="false" applyFill="true" applyFont="true" applyNumberFormat="false" applyProtection="false" borderId="9" fillId="12" fontId="5" numFmtId="0" xfId="0">
      <alignment horizontal="center" vertical="center" wrapText="true"/>
    </xf>
    <xf applyAlignment="true" applyBorder="false" applyFill="false" applyFont="true" applyNumberFormat="false" applyProtection="false" borderId="10" fillId="0" fontId="6" numFmtId="0" xfId="0">
      <alignment horizontal="center" vertical="center"/>
    </xf>
    <xf applyAlignment="true" applyBorder="false" applyFill="false" applyFont="true" applyNumberFormat="false" applyProtection="false" borderId="10" fillId="0" fontId="5" numFmtId="0" xfId="0">
      <alignment horizontal="center" vertical="center"/>
    </xf>
    <xf applyAlignment="true" applyBorder="false" applyFill="false" applyFont="true" applyNumberFormat="false" applyProtection="false" borderId="11" fillId="0" fontId="5" numFmtId="0" xfId="0">
      <alignment vertical="center" wrapText="true"/>
    </xf>
    <xf applyAlignment="true" applyBorder="false" applyFill="false" applyFont="true" applyNumberFormat="false" applyProtection="false" borderId="7" fillId="0" fontId="6" numFmtId="0" xfId="0">
      <alignment vertical="center" wrapText="true"/>
    </xf>
    <xf applyAlignment="true" applyBorder="false" applyFill="false" applyFont="true" applyNumberFormat="false" applyProtection="false" borderId="7" fillId="0" fontId="6" numFmtId="0" xfId="0">
      <alignment vertical="center" wrapText="true"/>
    </xf>
    <xf applyAlignment="true" applyBorder="false" applyFill="false" applyFont="true" applyNumberFormat="false" applyProtection="false" borderId="12" fillId="0" fontId="6" numFmtId="0" xfId="0">
      <alignment horizontal="center" vertical="center"/>
    </xf>
    <xf applyAlignment="true" applyBorder="false" applyFill="false" applyFont="true" applyNumberFormat="false" applyProtection="false" borderId="7" fillId="0" fontId="6" numFmtId="0" xfId="0">
      <alignment horizontal="center" vertical="center"/>
    </xf>
    <xf applyAlignment="true" applyBorder="false" applyFill="false" applyFont="true" applyNumberFormat="false" applyProtection="false" borderId="13" fillId="0" fontId="6" numFmtId="0" xfId="0">
      <alignment horizontal="center" vertical="center"/>
    </xf>
    <xf applyAlignment="true" applyBorder="false" applyFill="false" applyFont="true" applyNumberFormat="false" applyProtection="false" borderId="14" fillId="0" fontId="6" numFmtId="0" xfId="0">
      <alignment horizontal="center" vertical="center"/>
    </xf>
    <xf applyAlignment="true" applyBorder="false" applyFill="false" applyFont="true" applyNumberFormat="false" applyProtection="false" borderId="7" fillId="0" fontId="5" numFmtId="0" xfId="0">
      <alignment vertical="center" wrapText="true"/>
    </xf>
    <xf applyAlignment="true" applyBorder="false" applyFill="true" applyFont="true" applyNumberFormat="false" applyProtection="false" borderId="10" fillId="13" fontId="11" numFmtId="0" xfId="0">
      <alignment horizontal="left" vertical="center"/>
    </xf>
    <xf applyAlignment="true" applyBorder="false" applyFill="true" applyFont="true" applyNumberFormat="false" applyProtection="false" borderId="15" fillId="13" fontId="13" numFmtId="0" xfId="0">
      <alignment horizontal="left" vertical="center" wrapText="true"/>
    </xf>
    <xf applyAlignment="true" applyBorder="false" applyFill="true" applyFont="true" applyNumberFormat="false" applyProtection="false" borderId="15" fillId="13" fontId="14" numFmtId="0" xfId="0">
      <alignment horizontal="center" vertical="center" wrapText="true"/>
    </xf>
    <xf applyAlignment="true" applyBorder="false" applyFill="true" applyFont="true" applyNumberFormat="false" applyProtection="false" borderId="10" fillId="13" fontId="14" numFmtId="0" xfId="0">
      <alignment horizontal="center" vertical="center" wrapText="true"/>
    </xf>
    <xf applyAlignment="true" applyBorder="false" applyFill="true" applyFont="true" applyNumberFormat="false" applyProtection="false" borderId="0" fillId="14" fontId="1"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6" fillId="15" fontId="3" numFmtId="0" xfId="0">
      <alignment vertical="center"/>
    </xf>
    <xf applyAlignment="true" applyBorder="false" applyFill="true" applyFont="true" applyNumberFormat="false" applyProtection="false" borderId="16" fillId="15" fontId="6" numFmtId="0" xfId="0">
      <alignment horizontal="left" vertical="center" wrapText="true"/>
    </xf>
    <xf applyAlignment="true" applyBorder="false" applyFill="true" applyFont="true" applyNumberFormat="false" applyProtection="false" borderId="17" fillId="15" fontId="6" numFmtId="0" xfId="0">
      <alignment horizontal="left" vertical="center" wrapText="true"/>
    </xf>
    <xf applyAlignment="true" applyBorder="false" applyFill="true" applyFont="true" applyNumberFormat="false" applyProtection="false" borderId="16" fillId="16" fontId="5" numFmtId="0" xfId="0">
      <alignment horizontal="center" vertical="center"/>
    </xf>
    <xf applyAlignment="true" applyBorder="false" applyFill="true" applyFont="true" applyNumberFormat="false" applyProtection="false" borderId="16" fillId="16" fontId="5" numFmtId="0" xfId="0">
      <alignment horizontal="center" vertical="center"/>
    </xf>
    <xf applyAlignment="true" applyBorder="false" applyFill="true" applyFont="true" applyNumberFormat="false" applyProtection="false" borderId="18" fillId="16" fontId="5" numFmtId="0" xfId="0">
      <alignment horizontal="center" vertical="center" wrapText="true"/>
    </xf>
    <xf applyAlignment="true" applyBorder="false" applyFill="true" applyFont="true" applyNumberFormat="false" applyProtection="false" borderId="16" fillId="16" fontId="5" numFmtId="0" xfId="0">
      <alignment horizontal="center" vertical="center" wrapText="true"/>
    </xf>
    <xf applyAlignment="true" applyBorder="false" applyFill="true" applyFont="true" applyNumberFormat="false" applyProtection="false" borderId="17" fillId="16" fontId="5" numFmtId="0" xfId="0">
      <alignment horizontal="center" vertical="center"/>
    </xf>
    <xf applyAlignment="true" applyBorder="false" applyFill="true" applyFont="true" applyNumberFormat="false" applyProtection="false" borderId="18" fillId="16" fontId="5" numFmtId="0" xfId="0">
      <alignment horizontal="center" vertical="center" wrapText="true"/>
    </xf>
    <xf applyAlignment="true" applyBorder="false" applyFill="false" applyFont="true" applyNumberFormat="false" applyProtection="false" borderId="19" fillId="0" fontId="6" numFmtId="0" xfId="0">
      <alignment horizontal="center" vertical="center"/>
    </xf>
    <xf applyAlignment="true" applyBorder="false" applyFill="false" applyFont="true" applyNumberFormat="false" applyProtection="false" borderId="19" fillId="0" fontId="5" numFmtId="0" xfId="0">
      <alignment horizontal="center" vertical="center"/>
    </xf>
    <xf applyAlignment="true" applyBorder="false" applyFill="false" applyFont="true" applyNumberFormat="false" applyProtection="false" borderId="20" fillId="0" fontId="5" numFmtId="0" xfId="0">
      <alignment vertical="center" wrapText="true"/>
    </xf>
    <xf applyAlignment="true" applyBorder="false" applyFill="false" applyFont="true" applyNumberFormat="false" applyProtection="false" borderId="16" fillId="0" fontId="6" numFmtId="0" xfId="0">
      <alignment vertical="center" wrapText="true"/>
    </xf>
    <xf applyAlignment="true" applyBorder="false" applyFill="false" applyFont="true" applyNumberFormat="false" applyProtection="false" borderId="16" fillId="0" fontId="6" numFmtId="0" xfId="0">
      <alignment vertical="center" wrapText="true"/>
    </xf>
    <xf applyAlignment="true" applyBorder="false" applyFill="false" applyFont="true" applyNumberFormat="false" applyProtection="false" borderId="21" fillId="0" fontId="6" numFmtId="0" xfId="0">
      <alignment horizontal="center" vertical="center"/>
    </xf>
    <xf applyAlignment="true" applyBorder="false" applyFill="false" applyFont="true" applyNumberFormat="false" applyProtection="false" borderId="16" fillId="0" fontId="6" numFmtId="0" xfId="0">
      <alignment horizontal="center" vertical="center"/>
    </xf>
    <xf applyAlignment="true" applyBorder="false" applyFill="false" applyFont="true" applyNumberFormat="false" applyProtection="false" borderId="22" fillId="0" fontId="6" numFmtId="0" xfId="0">
      <alignment horizontal="center" vertical="center"/>
    </xf>
    <xf applyAlignment="true" applyBorder="false" applyFill="false" applyFont="true" applyNumberFormat="false" applyProtection="false" borderId="16" fillId="0" fontId="5" numFmtId="0" xfId="0">
      <alignment vertical="center" wrapText="true"/>
    </xf>
    <xf applyAlignment="true" applyBorder="false" applyFill="false" applyFont="true" applyNumberFormat="false" applyProtection="false" borderId="23" fillId="0" fontId="6" numFmtId="0" xfId="0">
      <alignment horizontal="center" vertical="center"/>
    </xf>
    <xf applyAlignment="true" applyBorder="false" applyFill="true" applyFont="true" applyNumberFormat="false" applyProtection="false" borderId="19" fillId="17" fontId="11" numFmtId="0" xfId="0">
      <alignment horizontal="left" vertical="center"/>
    </xf>
    <xf applyAlignment="true" applyBorder="false" applyFill="true" applyFont="true" applyNumberFormat="false" applyProtection="false" borderId="24" fillId="17" fontId="13" numFmtId="0" xfId="0">
      <alignment horizontal="left" vertical="center" wrapText="true"/>
    </xf>
    <xf applyAlignment="true" applyBorder="false" applyFill="true" applyFont="true" applyNumberFormat="false" applyProtection="false" borderId="24" fillId="17" fontId="14" numFmtId="0" xfId="0">
      <alignment horizontal="center" vertical="center" wrapText="true"/>
    </xf>
    <xf applyAlignment="true" applyBorder="false" applyFill="true" applyFont="true" applyNumberFormat="false" applyProtection="false" borderId="19" fillId="17" fontId="14" numFmtId="0" xfId="0">
      <alignment horizontal="center" vertical="center" wrapText="true"/>
    </xf>
    <xf applyAlignment="true" applyBorder="false" applyFill="true" applyFont="true" applyNumberFormat="false" applyProtection="false" borderId="0" fillId="18" fontId="1"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5" fillId="19" fontId="3" numFmtId="0" xfId="0">
      <alignment vertical="center"/>
    </xf>
    <xf applyAlignment="true" applyBorder="false" applyFill="true" applyFont="true" applyNumberFormat="false" applyProtection="false" borderId="25" fillId="19" fontId="5" numFmtId="0" xfId="0">
      <alignment horizontal="left" vertical="center" wrapText="true"/>
    </xf>
    <xf applyAlignment="true" applyBorder="false" applyFill="true" applyFont="true" applyNumberFormat="false" applyProtection="false" borderId="25" fillId="19" fontId="6" numFmtId="0" xfId="0">
      <alignment horizontal="left" vertical="center" wrapText="true"/>
    </xf>
    <xf applyAlignment="true" applyBorder="false" applyFill="true" applyFont="true" applyNumberFormat="false" applyProtection="false" borderId="25" fillId="20" fontId="5" numFmtId="0" xfId="0">
      <alignment horizontal="center" vertical="center"/>
    </xf>
    <xf applyAlignment="true" applyBorder="false" applyFill="true" applyFont="true" applyNumberFormat="false" applyProtection="false" borderId="25" fillId="20" fontId="5" numFmtId="0" xfId="0">
      <alignment horizontal="center" vertical="center"/>
    </xf>
    <xf applyAlignment="true" applyBorder="false" applyFill="true" applyFont="true" applyNumberFormat="false" applyProtection="false" borderId="25" fillId="20" fontId="5" numFmtId="0" xfId="0">
      <alignment horizontal="center" vertical="center" wrapText="true"/>
    </xf>
    <xf applyAlignment="true" applyBorder="false" applyFill="true" applyFont="true" applyNumberFormat="false" applyProtection="false" borderId="25" fillId="20" fontId="5" numFmtId="0" xfId="0">
      <alignment horizontal="center" vertical="center" wrapText="true"/>
    </xf>
    <xf applyAlignment="true" applyBorder="false" applyFill="false" applyFont="true" applyNumberFormat="false" applyProtection="false" borderId="25" fillId="0" fontId="6" numFmtId="0" xfId="0">
      <alignment horizontal="center" vertical="center"/>
    </xf>
    <xf applyAlignment="true" applyBorder="false" applyFill="false" applyFont="true" applyNumberFormat="false" applyProtection="false" borderId="25" fillId="0" fontId="5" numFmtId="0" xfId="0">
      <alignment horizontal="center" vertical="center"/>
    </xf>
    <xf applyAlignment="true" applyBorder="false" applyFill="false" applyFont="true" applyNumberFormat="false" applyProtection="false" borderId="25" fillId="0" fontId="5" numFmtId="0" xfId="0">
      <alignment vertical="center" wrapText="true"/>
    </xf>
    <xf applyAlignment="true" applyBorder="false" applyFill="false" applyFont="true" applyNumberFormat="false" applyProtection="false" borderId="25" fillId="0" fontId="5" numFmtId="0" xfId="0">
      <alignment vertical="center" wrapText="true"/>
    </xf>
    <xf applyAlignment="true" applyBorder="false" applyFill="false" applyFont="true" applyNumberFormat="false" applyProtection="false" borderId="25" fillId="0" fontId="6" numFmtId="0" xfId="0">
      <alignment vertical="center" wrapText="true"/>
    </xf>
    <xf applyAlignment="true" applyBorder="false" applyFill="false" applyFont="true" applyNumberFormat="false" applyProtection="false" borderId="25" fillId="0" fontId="6" numFmtId="0" xfId="0">
      <alignment horizontal="center" vertical="center"/>
    </xf>
    <xf applyAlignment="true" applyBorder="false" applyFill="true" applyFont="true" applyNumberFormat="false" applyProtection="false" borderId="25" fillId="21" fontId="11" numFmtId="0" xfId="0">
      <alignment horizontal="left" vertical="center"/>
    </xf>
    <xf applyAlignment="true" applyBorder="false" applyFill="true" applyFont="true" applyNumberFormat="false" applyProtection="false" borderId="25" fillId="21" fontId="13" numFmtId="0" xfId="0">
      <alignment horizontal="left" vertical="center" wrapText="true"/>
    </xf>
    <xf applyAlignment="true" applyBorder="false" applyFill="true" applyFont="true" applyNumberFormat="false" applyProtection="false" borderId="25" fillId="21" fontId="14" numFmtId="0" xfId="0">
      <alignment horizontal="center" vertical="center" wrapText="true"/>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16"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6" fillId="22" fontId="5" numFmtId="0" xfId="0">
      <alignment horizontal="center" vertical="center"/>
    </xf>
    <xf applyAlignment="true" applyBorder="false" applyFill="true" applyFont="true" applyNumberFormat="false" applyProtection="false" borderId="27" fillId="22" fontId="5" numFmtId="0" xfId="0">
      <alignment horizontal="center" vertical="center"/>
    </xf>
    <xf applyAlignment="true" applyBorder="false" applyFill="true" applyFont="true" applyNumberFormat="false" applyProtection="false" borderId="28" fillId="22" fontId="5" numFmtId="0" xfId="0">
      <alignment horizontal="center" vertical="center"/>
    </xf>
    <xf applyAlignment="true" applyBorder="false" applyFill="true" applyFont="true" applyNumberFormat="false" applyProtection="false" borderId="26" fillId="22" fontId="5" numFmtId="0" xfId="0">
      <alignment horizontal="center" vertical="center"/>
    </xf>
    <xf applyAlignment="true" applyBorder="false" applyFill="false" applyFont="true" applyNumberFormat="false" applyProtection="false" borderId="29" fillId="0" fontId="6" numFmtId="0" xfId="0">
      <alignment horizontal="center" vertical="center"/>
    </xf>
    <xf applyAlignment="true" applyBorder="false" applyFill="false" applyFont="true" applyNumberFormat="false" applyProtection="false" borderId="30" fillId="0" fontId="6" numFmtId="0" xfId="0">
      <alignment horizontal="center" vertical="center"/>
    </xf>
    <xf applyAlignment="true" applyBorder="false" applyFill="false" applyFont="true" applyNumberFormat="false" applyProtection="false" borderId="31" fillId="0" fontId="6" numFmtId="0" xfId="0">
      <alignment horizontal="center" vertical="center"/>
    </xf>
    <xf applyAlignment="true" applyBorder="false" applyFill="false" applyFont="true" applyNumberFormat="false" applyProtection="false" borderId="30" fillId="0" fontId="6" numFmtId="0" xfId="0">
      <alignment horizontal="left" vertical="center"/>
    </xf>
    <xf applyAlignment="true" applyBorder="false" applyFill="false" applyFont="true" applyNumberFormat="false" applyProtection="false" borderId="30" fillId="0" fontId="6" numFmtId="0" xfId="0">
      <alignment horizontal="center" vertical="center" wrapText="true"/>
    </xf>
    <xf applyAlignment="true" applyBorder="false" applyFill="false" applyFont="true" applyNumberFormat="false" applyProtection="false" borderId="30" fillId="0" fontId="6" numFmtId="0" xfId="0">
      <alignment vertical="center"/>
    </xf>
    <xf applyAlignment="true" applyBorder="false" applyFill="false" applyFont="true" applyNumberFormat="false" applyProtection="false" borderId="32" fillId="0" fontId="6" numFmtId="0" xfId="0">
      <alignment horizontal="center" vertical="center"/>
    </xf>
    <xf applyAlignment="true" applyBorder="false" applyFill="false" applyFont="true" applyNumberFormat="false" applyProtection="false" borderId="30" fillId="0" fontId="6" numFmtId="0" xfId="0">
      <alignment vertical="center"/>
    </xf>
    <xf applyAlignment="true" applyBorder="false" applyFill="false" applyFont="true" applyNumberFormat="false" applyProtection="false" borderId="30" fillId="0" fontId="6" numFmtId="0" xfId="0">
      <alignment vertical="center"/>
    </xf>
    <xf applyAlignment="true" applyBorder="false" applyFill="false" applyFont="true" applyNumberFormat="false" applyProtection="false" borderId="33" fillId="0" fontId="6" numFmtId="0" xfId="0">
      <alignment horizontal="center" vertical="center" wrapText="true"/>
    </xf>
    <xf applyAlignment="true" applyBorder="false" applyFill="false" applyFont="true" applyNumberFormat="false" applyProtection="false" borderId="30" fillId="0" fontId="6" numFmtId="0" xfId="0">
      <alignment horizontal="center" vertical="center" wrapText="true"/>
    </xf>
    <xf applyAlignment="true" applyBorder="false" applyFill="false" applyFont="true" applyNumberFormat="false" applyProtection="false" borderId="33" fillId="0" fontId="6" numFmtId="0" xfId="0">
      <alignment vertical="center" wrapText="true"/>
    </xf>
    <xf applyAlignment="true" applyBorder="false" applyFill="false" applyFont="true" applyNumberFormat="false" applyProtection="false" borderId="30" fillId="0" fontId="6" numFmtId="0" xfId="0">
      <alignment vertical="center" wrapText="true"/>
    </xf>
    <xf applyAlignment="true" applyBorder="false" applyFill="false" applyFont="true" applyNumberFormat="false" applyProtection="false" borderId="30" fillId="0" fontId="6" numFmtId="0" xfId="0">
      <alignment vertical="center" wrapText="true"/>
    </xf>
    <xf applyAlignment="true" applyBorder="false" applyFill="false" applyFont="true" applyNumberFormat="false" applyProtection="false" borderId="33" fillId="0" fontId="6" numFmtId="0" xfId="0">
      <alignment horizontal="center" vertical="center" wrapText="true"/>
    </xf>
    <xf applyAlignment="true" applyBorder="false" applyFill="true" applyFont="true" applyNumberFormat="false" applyProtection="false" borderId="34" fillId="23" fontId="6" numFmtId="0" xfId="0">
      <alignment horizontal="center" vertical="center" wrapText="true"/>
    </xf>
    <xf applyAlignment="true" applyBorder="false" applyFill="true" applyFont="true" applyNumberFormat="false" applyProtection="false" borderId="30" fillId="23" fontId="6" numFmtId="0" xfId="0">
      <alignment horizontal="center" vertical="center" wrapText="true"/>
    </xf>
    <xf applyAlignment="true" applyBorder="false" applyFill="true" applyFont="true" applyNumberFormat="false" applyProtection="false" borderId="33" fillId="23" fontId="6" numFmtId="0" xfId="0">
      <alignment vertical="center" wrapText="true"/>
    </xf>
    <xf applyAlignment="true" applyBorder="false" applyFill="true" applyFont="true" applyNumberFormat="false" applyProtection="false" borderId="30" fillId="23" fontId="6" numFmtId="0" xfId="0">
      <alignment vertical="center" wrapText="true"/>
    </xf>
    <xf applyAlignment="true" applyBorder="false" applyFill="true" applyFont="true" applyNumberFormat="false" applyProtection="false" borderId="30" fillId="23" fontId="6" numFmtId="0" xfId="0">
      <alignment vertical="center" wrapText="true"/>
    </xf>
    <xf applyAlignment="true" applyBorder="false" applyFill="true" applyFont="true" applyNumberFormat="false" applyProtection="false" borderId="32" fillId="23" fontId="6" numFmtId="0" xfId="0">
      <alignment horizontal="center" vertical="center"/>
    </xf>
    <xf applyAlignment="true" applyBorder="false" applyFill="true" applyFont="true" applyNumberFormat="false" applyProtection="false" borderId="35" fillId="23" fontId="6" numFmtId="0" xfId="0">
      <alignment horizontal="center" vertical="center" wrapText="true"/>
    </xf>
    <xf applyAlignment="true" applyBorder="false" applyFill="false" applyFont="true" applyNumberFormat="false" applyProtection="false" borderId="36" fillId="0" fontId="6" numFmtId="0" xfId="0">
      <alignment horizontal="center" vertical="center" wrapText="true"/>
    </xf>
    <xf applyAlignment="true" applyBorder="false" applyFill="true" applyFont="true" applyNumberFormat="false" applyProtection="false" borderId="36" fillId="23" fontId="6" numFmtId="0" xfId="0">
      <alignment horizontal="center" vertical="center" wrapText="true"/>
    </xf>
    <xf applyAlignment="true" applyBorder="false" applyFill="false" applyFont="true" applyNumberFormat="false" applyProtection="false" borderId="32" fillId="0" fontId="6" numFmtId="0" xfId="0">
      <alignment horizontal="center" vertical="center"/>
    </xf>
    <xf applyAlignment="true" applyBorder="false" applyFill="false" applyFont="true" applyNumberFormat="false" applyProtection="false" borderId="36" fillId="0" fontId="6" numFmtId="0" xfId="0">
      <alignment horizontal="center" vertical="center" wrapText="true"/>
    </xf>
    <xf applyAlignment="true" applyBorder="false" applyFill="true" applyFont="true" applyNumberFormat="false" applyProtection="false" borderId="29" fillId="24" fontId="6" numFmtId="0" xfId="0">
      <alignment horizontal="center" vertical="center"/>
    </xf>
    <xf applyAlignment="true" applyBorder="false" applyFill="true" applyFont="true" applyNumberFormat="false" applyProtection="false" borderId="26" fillId="24" fontId="6" numFmtId="0" xfId="0">
      <alignment horizontal="center" vertical="center" wrapText="true"/>
    </xf>
    <xf applyAlignment="true" applyBorder="false" applyFill="true" applyFont="true" applyNumberFormat="false" applyProtection="false" borderId="31" fillId="24" fontId="6" numFmtId="0" xfId="0">
      <alignment horizontal="center" vertical="center"/>
    </xf>
    <xf applyAlignment="true" applyBorder="false" applyFill="true" applyFont="true" applyNumberFormat="false" applyProtection="false" borderId="26" fillId="24" fontId="6" numFmtId="0" xfId="0">
      <alignment vertical="center" wrapText="true"/>
    </xf>
    <xf applyAlignment="true" applyBorder="false" applyFill="true" applyFont="true" applyNumberFormat="false" applyProtection="false" borderId="32" fillId="24" fontId="6" numFmtId="0" xfId="0">
      <alignment horizontal="center" vertical="center"/>
    </xf>
    <xf applyAlignment="true" applyBorder="false" applyFill="true" applyFont="true" applyNumberFormat="false" applyProtection="false" borderId="29" fillId="25" fontId="6" numFmtId="0" xfId="0">
      <alignment horizontal="center" vertical="center"/>
    </xf>
    <xf applyAlignment="true" applyBorder="false" applyFill="true" applyFont="true" applyNumberFormat="false" applyProtection="false" borderId="30" fillId="25" fontId="6" numFmtId="0" xfId="0">
      <alignment horizontal="center" vertical="center" wrapText="true"/>
    </xf>
    <xf applyAlignment="true" applyBorder="false" applyFill="true" applyFont="true" applyNumberFormat="false" applyProtection="false" borderId="31" fillId="25" fontId="6" numFmtId="0" xfId="0">
      <alignment horizontal="center" vertical="center"/>
    </xf>
    <xf applyAlignment="true" applyBorder="false" applyFill="true" applyFont="true" applyNumberFormat="false" applyProtection="false" borderId="30" fillId="25" fontId="6" numFmtId="0" xfId="0">
      <alignment vertical="center" wrapText="true"/>
    </xf>
    <xf applyAlignment="true" applyBorder="false" applyFill="true" applyFont="true" applyNumberFormat="false" applyProtection="false" borderId="30" fillId="25" fontId="6" numFmtId="0" xfId="0">
      <alignment vertical="center" wrapText="true"/>
    </xf>
    <xf applyAlignment="true" applyBorder="false" applyFill="true" applyFont="true" applyNumberFormat="false" applyProtection="false" borderId="32" fillId="25" fontId="6" numFmtId="0" xfId="0">
      <alignment horizontal="center" vertical="center"/>
    </xf>
    <xf applyAlignment="true" applyBorder="false" applyFill="false" applyFont="true" applyNumberFormat="false" applyProtection="false" borderId="30" fillId="0" fontId="6" numFmtId="0" xfId="0">
      <alignment horizontal="center" vertical="center" wrapText="true"/>
    </xf>
    <xf applyAlignment="true" applyBorder="false" applyFill="true" applyFont="true" applyNumberFormat="false" applyProtection="false" borderId="30" fillId="24" fontId="6" numFmtId="0" xfId="0">
      <alignment horizontal="center" vertical="center" wrapText="true"/>
    </xf>
    <xf applyAlignment="true" applyBorder="false" applyFill="true" applyFont="true" applyNumberFormat="false" applyProtection="false" borderId="30" fillId="24" fontId="6" numFmtId="0" xfId="0">
      <alignment vertical="center" wrapText="true"/>
    </xf>
    <xf applyAlignment="true" applyBorder="false" applyFill="true" applyFont="true" applyNumberFormat="false" applyProtection="false" borderId="30" fillId="24" fontId="6" numFmtId="0" xfId="0">
      <alignment vertical="center" wrapText="true"/>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16"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37" fillId="26" fontId="5" numFmtId="0" xfId="0">
      <alignment horizontal="center" vertical="center"/>
    </xf>
    <xf applyAlignment="true" applyBorder="false" applyFill="true" applyFont="true" applyNumberFormat="false" applyProtection="false" borderId="38" fillId="26" fontId="5" numFmtId="0" xfId="0">
      <alignment horizontal="center" vertical="center"/>
    </xf>
    <xf applyAlignment="true" applyBorder="false" applyFill="true" applyFont="true" applyNumberFormat="false" applyProtection="false" borderId="39" fillId="26" fontId="5" numFmtId="0" xfId="0">
      <alignment horizontal="center" vertical="center"/>
    </xf>
    <xf applyAlignment="true" applyBorder="false" applyFill="true" applyFont="true" applyNumberFormat="false" applyProtection="false" borderId="37" fillId="26" fontId="5" numFmtId="0" xfId="0">
      <alignment horizontal="center" vertical="center"/>
    </xf>
    <xf applyAlignment="true" applyBorder="false" applyFill="false" applyFont="true" applyNumberFormat="false" applyProtection="false" borderId="40" fillId="0" fontId="6" numFmtId="0" xfId="0">
      <alignment horizontal="center" vertical="center"/>
    </xf>
    <xf applyAlignment="true" applyBorder="false" applyFill="false" applyFont="true" applyNumberFormat="false" applyProtection="false" borderId="41" fillId="0" fontId="6" numFmtId="0" xfId="0">
      <alignment horizontal="center" vertical="center" wrapText="true"/>
    </xf>
    <xf applyAlignment="true" applyBorder="false" applyFill="false" applyFont="true" applyNumberFormat="false" applyProtection="false" borderId="40" fillId="0" fontId="6" numFmtId="0" xfId="0">
      <alignment horizontal="center" vertical="center"/>
    </xf>
    <xf applyAlignment="true" applyBorder="false" applyFill="false" applyFont="true" applyNumberFormat="false" applyProtection="false" borderId="41" fillId="0" fontId="6" numFmtId="0" xfId="0">
      <alignment horizontal="left" vertical="center" wrapText="true"/>
    </xf>
    <xf applyAlignment="true" applyBorder="false" applyFill="false" applyFont="true" applyNumberFormat="false" applyProtection="false" borderId="42" fillId="0" fontId="6" numFmtId="0" xfId="0">
      <alignment horizontal="center" vertical="center"/>
    </xf>
    <xf applyAlignment="true" applyBorder="false" applyFill="false" applyFont="true" applyNumberFormat="false" applyProtection="false" borderId="41" fillId="0" fontId="6" numFmtId="0" xfId="0">
      <alignment horizontal="left" vertical="center" wrapText="true"/>
    </xf>
    <xf applyAlignment="true" applyBorder="false" applyFill="true" applyFont="true" applyNumberFormat="false" applyProtection="false" borderId="40" fillId="27" fontId="6" numFmtId="0" xfId="0">
      <alignment horizontal="center" vertical="center"/>
    </xf>
    <xf applyAlignment="true" applyBorder="false" applyFill="true" applyFont="true" applyNumberFormat="false" applyProtection="false" borderId="41" fillId="27" fontId="6" numFmtId="0" xfId="0">
      <alignment horizontal="center" vertical="center" wrapText="true"/>
    </xf>
    <xf applyAlignment="true" applyBorder="false" applyFill="true" applyFont="true" applyNumberFormat="false" applyProtection="false" borderId="41" fillId="27" fontId="6" numFmtId="0" xfId="0">
      <alignment vertical="bottom" wrapText="true"/>
    </xf>
    <xf applyAlignment="true" applyBorder="false" applyFill="true" applyFont="true" applyNumberFormat="false" applyProtection="false" borderId="41" fillId="27" fontId="6" numFmtId="0" xfId="0">
      <alignment horizontal="left" vertical="center" wrapText="true"/>
    </xf>
    <xf applyAlignment="true" applyBorder="false" applyFill="true" applyFont="true" applyNumberFormat="false" applyProtection="false" borderId="42" fillId="27" fontId="6" numFmtId="0" xfId="0">
      <alignment horizontal="center" vertical="center"/>
    </xf>
    <xf applyAlignment="true" applyBorder="false" applyFill="false" applyFont="true" applyNumberFormat="false" applyProtection="false" borderId="41" fillId="0" fontId="6" numFmtId="0" xfId="0">
      <alignment horizontal="left" vertical="center" wrapText="true"/>
    </xf>
    <xf applyAlignment="true" applyBorder="false" applyFill="true" applyFont="true" applyNumberFormat="false" applyProtection="false" borderId="40" fillId="28" fontId="6" numFmtId="0" xfId="0">
      <alignment horizontal="center" vertical="center"/>
    </xf>
    <xf applyAlignment="true" applyBorder="false" applyFill="true" applyFont="true" applyNumberFormat="false" applyProtection="false" borderId="41" fillId="28" fontId="6" numFmtId="0" xfId="0">
      <alignment horizontal="center" vertical="center" wrapText="true"/>
    </xf>
    <xf applyAlignment="true" applyBorder="false" applyFill="true" applyFont="true" applyNumberFormat="false" applyProtection="false" borderId="41" fillId="28" fontId="6" numFmtId="0" xfId="0">
      <alignment vertical="bottom" wrapText="true"/>
    </xf>
    <xf applyAlignment="true" applyBorder="false" applyFill="true" applyFont="true" applyNumberFormat="false" applyProtection="false" borderId="41" fillId="28" fontId="6" numFmtId="0" xfId="0">
      <alignment vertical="center" wrapText="true"/>
    </xf>
    <xf applyAlignment="true" applyBorder="false" applyFill="true" applyFont="true" applyNumberFormat="false" applyProtection="false" borderId="42" fillId="28" fontId="6" numFmtId="0" xfId="0">
      <alignment horizontal="center" vertical="center"/>
    </xf>
    <xf applyAlignment="true" applyBorder="false" applyFill="true" applyFont="true" applyNumberFormat="false" applyProtection="false" borderId="40" fillId="29" fontId="6" numFmtId="0" xfId="0">
      <alignment horizontal="center" vertical="center"/>
    </xf>
    <xf applyAlignment="true" applyBorder="false" applyFill="true" applyFont="true" applyNumberFormat="false" applyProtection="false" borderId="41" fillId="29" fontId="6" numFmtId="0" xfId="0">
      <alignment horizontal="center" vertical="center" wrapText="true"/>
    </xf>
    <xf applyAlignment="true" applyBorder="false" applyFill="true" applyFont="true" applyNumberFormat="false" applyProtection="false" borderId="41" fillId="29" fontId="6" numFmtId="0" xfId="0">
      <alignment vertical="bottom" wrapText="true"/>
    </xf>
    <xf applyAlignment="true" applyBorder="false" applyFill="true" applyFont="true" applyNumberFormat="false" applyProtection="false" borderId="41" fillId="29" fontId="6" numFmtId="0" xfId="0">
      <alignment vertical="center" wrapText="true"/>
    </xf>
    <xf applyAlignment="true" applyBorder="false" applyFill="true" applyFont="true" applyNumberFormat="false" applyProtection="false" borderId="42" fillId="29" fontId="6" numFmtId="0" xfId="0">
      <alignment horizontal="center"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16"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43" fillId="30" fontId="5" numFmtId="0" xfId="0">
      <alignment horizontal="center" vertical="center"/>
    </xf>
    <xf applyAlignment="true" applyBorder="false" applyFill="true" applyFont="true" applyNumberFormat="false" applyProtection="false" borderId="44" fillId="30" fontId="5" numFmtId="0" xfId="0">
      <alignment horizontal="center" vertical="center"/>
    </xf>
    <xf applyAlignment="true" applyBorder="false" applyFill="true" applyFont="true" applyNumberFormat="false" applyProtection="false" borderId="43" fillId="30" fontId="5" numFmtId="0" xfId="0">
      <alignment horizontal="center" vertical="center"/>
    </xf>
    <xf applyAlignment="true" applyBorder="false" applyFill="false" applyFont="true" applyNumberFormat="false" applyProtection="false" borderId="45" fillId="0" fontId="6" numFmtId="0" xfId="0">
      <alignment horizontal="center" vertical="center" wrapText="true"/>
    </xf>
    <xf applyAlignment="true" applyBorder="false" applyFill="false" applyFont="true" applyNumberFormat="false" applyProtection="false" borderId="45" fillId="0" fontId="6" numFmtId="0" xfId="0">
      <alignment horizontal="center" vertical="center" wrapText="true"/>
    </xf>
    <xf applyAlignment="true" applyBorder="false" applyFill="false" applyFont="true" applyNumberFormat="false" applyProtection="false" borderId="45" fillId="0" fontId="6" numFmtId="0" xfId="0">
      <alignment vertical="center" wrapText="true"/>
    </xf>
    <xf applyAlignment="true" applyBorder="false" applyFill="false" applyFont="true" applyNumberFormat="false" applyProtection="false" borderId="45" fillId="0" fontId="6" numFmtId="0" xfId="0">
      <alignment horizontal="center" vertical="center"/>
    </xf>
    <xf applyAlignment="true" applyBorder="false" applyFill="false" applyFont="true" applyNumberFormat="false" applyProtection="false" borderId="45" fillId="0" fontId="6" numFmtId="0" xfId="0">
      <alignment vertical="center" wrapText="true"/>
    </xf>
    <xf applyAlignment="true" applyBorder="false" applyFill="false" applyFont="true" applyNumberFormat="false" applyProtection="false" borderId="45" fillId="0" fontId="6" numFmtId="0" xfId="0">
      <alignment vertical="center" wrapText="true"/>
    </xf>
    <xf applyAlignment="true" applyBorder="false" applyFill="true" applyFont="true" applyNumberFormat="false" applyProtection="false" borderId="45" fillId="31" fontId="6" numFmtId="0" xfId="0">
      <alignment horizontal="center" vertical="center"/>
    </xf>
    <xf applyAlignment="true" applyBorder="false" applyFill="true" applyFont="true" applyNumberFormat="false" applyProtection="false" borderId="45" fillId="31" fontId="6" numFmtId="0" xfId="0">
      <alignment horizontal="center" vertical="center" wrapText="true"/>
    </xf>
    <xf applyAlignment="true" applyBorder="false" applyFill="true" applyFont="true" applyNumberFormat="false" applyProtection="false" borderId="45" fillId="31" fontId="6" numFmtId="0" xfId="0">
      <alignment vertical="center" wrapText="true"/>
    </xf>
    <xf applyAlignment="true" applyBorder="false" applyFill="true" applyFont="true" applyNumberFormat="false" applyProtection="false" borderId="45" fillId="31" fontId="6" numFmtId="0" xfId="0">
      <alignment vertical="center" wrapText="true"/>
    </xf>
    <xf applyAlignment="true" applyBorder="false" applyFill="true" applyFont="true" applyNumberFormat="false" applyProtection="false" borderId="45" fillId="31" fontId="6" numFmtId="0" xfId="0">
      <alignment horizontal="center" vertical="center"/>
    </xf>
    <xf applyAlignment="true" applyBorder="false" applyFill="true" applyFont="true" applyNumberFormat="false" applyProtection="false" borderId="45" fillId="31" fontId="6" numFmtId="0" xfId="0">
      <alignment horizontal="center" vertical="center" wrapText="true"/>
    </xf>
    <xf applyAlignment="true" applyBorder="false" applyFill="false" applyFont="true" applyNumberFormat="false" applyProtection="false" borderId="45" fillId="0" fontId="6" numFmtId="0" xfId="0">
      <alignment horizontal="center" vertical="center" wrapText="true"/>
    </xf>
    <xf applyAlignment="true" applyBorder="false" applyFill="false" applyFont="true" applyNumberFormat="false" applyProtection="false" borderId="45" fillId="0" fontId="6" numFmtId="0" xfId="0">
      <alignment horizontal="center" vertical="center"/>
    </xf>
    <xf applyAlignment="true" applyBorder="false" applyFill="true" applyFont="true" applyNumberFormat="false" applyProtection="false" borderId="45" fillId="32" fontId="6" numFmtId="0" xfId="0">
      <alignment horizontal="center" vertical="center"/>
    </xf>
    <xf applyAlignment="true" applyBorder="false" applyFill="true" applyFont="true" applyNumberFormat="false" applyProtection="false" borderId="45" fillId="32" fontId="6" numFmtId="0" xfId="0">
      <alignment horizontal="center" vertical="center" wrapText="true"/>
    </xf>
    <xf applyAlignment="true" applyBorder="false" applyFill="true" applyFont="true" applyNumberFormat="false" applyProtection="false" borderId="45" fillId="32" fontId="6" numFmtId="0" xfId="0">
      <alignment vertical="center" wrapText="true"/>
    </xf>
    <xf applyAlignment="true" applyBorder="false" applyFill="true" applyFont="true" applyNumberFormat="false" applyProtection="false" borderId="45" fillId="32" fontId="6" numFmtId="0" xfId="0">
      <alignment vertical="center" wrapText="true"/>
    </xf>
    <xf applyAlignment="true" applyBorder="false" applyFill="true" applyFont="true" applyNumberFormat="false" applyProtection="false" borderId="45" fillId="32" fontId="6" numFmtId="0" xfId="0">
      <alignment vertical="center"/>
    </xf>
    <xf applyAlignment="true" applyBorder="false" applyFill="true" applyFont="true" applyNumberFormat="false" applyProtection="false" borderId="45" fillId="33" fontId="6" numFmtId="0" xfId="0">
      <alignment horizontal="center" vertical="center"/>
    </xf>
    <xf applyAlignment="true" applyBorder="false" applyFill="true" applyFont="true" applyNumberFormat="false" applyProtection="false" borderId="45" fillId="33" fontId="6" numFmtId="0" xfId="0">
      <alignment horizontal="center" vertical="center" wrapText="true"/>
    </xf>
    <xf applyAlignment="true" applyBorder="false" applyFill="true" applyFont="true" applyNumberFormat="false" applyProtection="false" borderId="45" fillId="33" fontId="6" numFmtId="0" xfId="0">
      <alignment vertical="center" wrapText="true"/>
    </xf>
    <xf applyAlignment="true" applyBorder="false" applyFill="true" applyFont="true" applyNumberFormat="false" applyProtection="false" borderId="45" fillId="33" fontId="6" numFmtId="0" xfId="0">
      <alignment vertical="center" wrapText="true"/>
    </xf>
    <xf applyAlignment="true" applyBorder="false" applyFill="true" applyFont="true" applyNumberFormat="false" applyProtection="false" borderId="45" fillId="33" fontId="6"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16"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46" fillId="34" fontId="5" numFmtId="0" xfId="0">
      <alignment horizontal="center" vertical="center"/>
    </xf>
    <xf applyAlignment="true" applyBorder="false" applyFill="true" applyFont="true" applyNumberFormat="false" applyProtection="false" borderId="47" fillId="34" fontId="5" numFmtId="0" xfId="0">
      <alignment horizontal="center" vertical="center"/>
    </xf>
    <xf applyAlignment="true" applyBorder="false" applyFill="true" applyFont="true" applyNumberFormat="false" applyProtection="false" borderId="46" fillId="34" fontId="5" numFmtId="0" xfId="0">
      <alignment horizontal="center" vertical="center"/>
    </xf>
    <xf applyAlignment="true" applyBorder="false" applyFill="false" applyFont="true" applyNumberFormat="false" applyProtection="false" borderId="48" fillId="0" fontId="6" numFmtId="0" xfId="0">
      <alignment horizontal="center" vertical="center" wrapText="true"/>
    </xf>
    <xf applyAlignment="true" applyBorder="false" applyFill="false" applyFont="true" applyNumberFormat="false" applyProtection="false" borderId="48" fillId="0" fontId="6" numFmtId="0" xfId="0">
      <alignment horizontal="center" vertical="center" wrapText="true"/>
    </xf>
    <xf applyAlignment="true" applyBorder="false" applyFill="false" applyFont="true" applyNumberFormat="false" applyProtection="false" borderId="48" fillId="0" fontId="6" numFmtId="0" xfId="0">
      <alignment vertical="center" wrapText="true"/>
    </xf>
    <xf applyAlignment="true" applyBorder="false" applyFill="false" applyFont="true" applyNumberFormat="false" applyProtection="false" borderId="48" fillId="0" fontId="6" numFmtId="0" xfId="0">
      <alignment vertical="center" wrapText="true"/>
    </xf>
    <xf applyAlignment="true" applyBorder="false" applyFill="false" applyFont="true" applyNumberFormat="false" applyProtection="false" borderId="48" fillId="0" fontId="6" numFmtId="0" xfId="0">
      <alignment horizontal="center" vertical="center"/>
    </xf>
    <xf applyAlignment="true" applyBorder="false" applyFill="true" applyFont="true" applyNumberFormat="false" applyProtection="false" borderId="48" fillId="35" fontId="6" numFmtId="0" xfId="0">
      <alignment horizontal="center" vertical="center"/>
    </xf>
    <xf applyAlignment="true" applyBorder="false" applyFill="true" applyFont="true" applyNumberFormat="false" applyProtection="false" borderId="48" fillId="35" fontId="6" numFmtId="0" xfId="0">
      <alignment horizontal="center" vertical="center" wrapText="true"/>
    </xf>
    <xf applyAlignment="true" applyBorder="false" applyFill="true" applyFont="true" applyNumberFormat="false" applyProtection="false" borderId="48" fillId="35" fontId="6" numFmtId="0" xfId="0">
      <alignment vertical="center" wrapText="true"/>
    </xf>
    <xf applyAlignment="true" applyBorder="false" applyFill="true" applyFont="true" applyNumberFormat="false" applyProtection="false" borderId="48" fillId="35" fontId="6" numFmtId="0" xfId="0">
      <alignment vertical="center" wrapText="true"/>
    </xf>
    <xf applyAlignment="true" applyBorder="false" applyFill="true" applyFont="true" applyNumberFormat="false" applyProtection="false" borderId="48" fillId="35" fontId="6" numFmtId="0" xfId="0">
      <alignment horizontal="center" vertical="center"/>
    </xf>
    <xf applyAlignment="true" applyBorder="false" applyFill="false" applyFont="true" applyNumberFormat="false" applyProtection="false" borderId="49" fillId="0" fontId="6" numFmtId="0" xfId="0">
      <alignment vertical="center"/>
    </xf>
    <xf applyAlignment="true" applyBorder="false" applyFill="false" applyFont="true" applyNumberFormat="false" applyProtection="false" borderId="49" fillId="0" fontId="6" numFmtId="0" xfId="0">
      <alignment vertical="center"/>
    </xf>
    <xf applyAlignment="true" applyBorder="false" applyFill="true" applyFont="true" applyNumberFormat="false" applyProtection="false" borderId="48" fillId="35" fontId="6" numFmtId="0" xfId="0">
      <alignment horizontal="center" vertical="center" wrapText="true"/>
    </xf>
    <xf applyAlignment="true" applyBorder="false" applyFill="false" applyFont="true" applyNumberFormat="false" applyProtection="false" borderId="48" fillId="0" fontId="6" numFmtId="0" xfId="0">
      <alignment horizontal="center" vertical="center" wrapText="true"/>
    </xf>
    <xf applyAlignment="true" applyBorder="false" applyFill="false" applyFont="true" applyNumberFormat="false" applyProtection="false" borderId="48" fillId="0" fontId="6" numFmtId="0" xfId="0">
      <alignment horizontal="center" vertical="center"/>
    </xf>
    <xf applyAlignment="true" applyBorder="false" applyFill="false" applyFont="true" applyNumberFormat="false" applyProtection="false" borderId="49" fillId="0" fontId="6" numFmtId="0" xfId="0">
      <alignment vertical="center"/>
    </xf>
    <xf applyAlignment="true" applyBorder="false" applyFill="true" applyFont="true" applyNumberFormat="false" applyProtection="false" borderId="48" fillId="36" fontId="6" numFmtId="0" xfId="0">
      <alignment horizontal="center" vertical="center"/>
    </xf>
    <xf applyAlignment="true" applyBorder="false" applyFill="true" applyFont="true" applyNumberFormat="false" applyProtection="false" borderId="48" fillId="36" fontId="6" numFmtId="0" xfId="0">
      <alignment horizontal="center" vertical="center" wrapText="true"/>
    </xf>
    <xf applyAlignment="true" applyBorder="false" applyFill="true" applyFont="true" applyNumberFormat="false" applyProtection="false" borderId="48" fillId="36" fontId="6" numFmtId="0" xfId="0">
      <alignment vertical="center" wrapText="true"/>
    </xf>
    <xf applyAlignment="true" applyBorder="false" applyFill="true" applyFont="true" applyNumberFormat="false" applyProtection="false" borderId="48" fillId="36" fontId="6" numFmtId="0" xfId="0">
      <alignment vertical="center" wrapText="true"/>
    </xf>
    <xf applyAlignment="true" applyBorder="false" applyFill="true" applyFont="true" applyNumberFormat="false" applyProtection="false" borderId="48" fillId="36" fontId="6" numFmtId="0" xfId="0">
      <alignment vertical="center"/>
    </xf>
    <xf applyAlignment="true" applyBorder="false" applyFill="true" applyFont="true" applyNumberFormat="false" applyProtection="false" borderId="48" fillId="37" fontId="6" numFmtId="0" xfId="0">
      <alignment horizontal="center" vertical="center"/>
    </xf>
    <xf applyAlignment="true" applyBorder="false" applyFill="true" applyFont="true" applyNumberFormat="false" applyProtection="false" borderId="48" fillId="37" fontId="6" numFmtId="0" xfId="0">
      <alignment horizontal="center" vertical="center" wrapText="true"/>
    </xf>
    <xf applyAlignment="true" applyBorder="false" applyFill="true" applyFont="true" applyNumberFormat="false" applyProtection="false" borderId="48" fillId="37" fontId="6" numFmtId="0" xfId="0">
      <alignment horizontal="center" vertical="center" wrapText="true"/>
    </xf>
    <xf applyAlignment="true" applyBorder="false" applyFill="true" applyFont="true" applyNumberFormat="false" applyProtection="false" borderId="48" fillId="37" fontId="6" numFmtId="0" xfId="0">
      <alignment vertical="center" wrapText="true"/>
    </xf>
    <xf applyAlignment="true" applyBorder="false" applyFill="true" applyFont="true" applyNumberFormat="false" applyProtection="false" borderId="48" fillId="37" fontId="6" numFmtId="0" xfId="0">
      <alignment vertical="center" wrapText="true"/>
    </xf>
    <xf applyAlignment="true" applyBorder="false" applyFill="true" applyFont="true" applyNumberFormat="false" applyProtection="false" borderId="48" fillId="37" fontId="6" numFmtId="0" xfId="0">
      <alignment vertical="center"/>
    </xf>
    <xf applyAlignment="true" applyBorder="false" applyFill="false" applyFont="true" applyNumberFormat="false" applyProtection="false" borderId="49" fillId="0" fontId="6" numFmtId="0" xfId="0">
      <alignment vertical="center"/>
    </xf>
    <xf applyAlignment="true" applyBorder="false" applyFill="false" applyFont="true" applyNumberFormat="false" applyProtection="false" borderId="49" fillId="0" fontId="6"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16" numFmtId="0" xfId="0">
      <alignment horizontal="center" vertical="center"/>
    </xf>
    <xf applyAlignment="true" applyBorder="false" applyFill="true" applyFont="true" applyNumberFormat="false" applyProtection="false" borderId="50" fillId="38" fontId="5" numFmtId="0" xfId="0">
      <alignment horizontal="center" vertical="center"/>
    </xf>
    <xf applyAlignment="true" applyBorder="false" applyFill="true" applyFont="true" applyNumberFormat="false" applyProtection="false" borderId="51" fillId="38" fontId="5" numFmtId="0" xfId="0">
      <alignment horizontal="center" vertical="center"/>
    </xf>
    <xf applyAlignment="true" applyBorder="false" applyFill="true" applyFont="true" applyNumberFormat="false" applyProtection="false" borderId="50" fillId="38" fontId="5" numFmtId="0" xfId="0">
      <alignment horizontal="center" vertical="center"/>
    </xf>
    <xf applyAlignment="true" applyBorder="false" applyFill="false" applyFont="true" applyNumberFormat="false" applyProtection="false" borderId="52" fillId="0" fontId="6" numFmtId="0" xfId="0">
      <alignment horizontal="center" vertical="center" wrapText="true"/>
    </xf>
    <xf applyAlignment="true" applyBorder="false" applyFill="false" applyFont="true" applyNumberFormat="false" applyProtection="false" borderId="52" fillId="0" fontId="6" numFmtId="0" xfId="0">
      <alignment horizontal="center" vertical="center" wrapText="true"/>
    </xf>
    <xf applyAlignment="true" applyBorder="false" applyFill="false" applyFont="true" applyNumberFormat="false" applyProtection="false" borderId="53" fillId="0" fontId="6" numFmtId="0" xfId="0">
      <alignment vertical="center" wrapText="true"/>
    </xf>
    <xf applyAlignment="true" applyBorder="false" applyFill="false" applyFont="true" applyNumberFormat="false" applyProtection="false" borderId="52" fillId="0" fontId="6" numFmtId="0" xfId="0">
      <alignment vertical="center" wrapText="true"/>
    </xf>
    <xf applyAlignment="true" applyBorder="false" applyFill="false" applyFont="true" applyNumberFormat="false" applyProtection="false" borderId="52" fillId="0" fontId="6" numFmtId="0" xfId="0">
      <alignment vertical="bottom" wrapText="true"/>
    </xf>
    <xf applyAlignment="true" applyBorder="false" applyFill="false" applyFont="true" applyNumberFormat="false" applyProtection="false" borderId="52" fillId="0" fontId="6" numFmtId="0" xfId="0">
      <alignment horizontal="center" vertical="center"/>
    </xf>
    <xf applyAlignment="true" applyBorder="false" applyFill="false" applyFont="true" applyNumberFormat="false" applyProtection="false" borderId="52" fillId="0" fontId="6" numFmtId="0" xfId="0">
      <alignment vertical="bottom" wrapText="true"/>
    </xf>
    <xf applyAlignment="true" applyBorder="false" applyFill="true" applyFont="true" applyNumberFormat="false" applyProtection="false" borderId="52" fillId="39" fontId="6" numFmtId="0" xfId="0">
      <alignment horizontal="center" vertical="center"/>
    </xf>
    <xf applyAlignment="true" applyBorder="false" applyFill="true" applyFont="true" applyNumberFormat="false" applyProtection="false" borderId="52" fillId="39" fontId="6" numFmtId="0" xfId="0">
      <alignment horizontal="center" vertical="center" wrapText="true"/>
    </xf>
    <xf applyAlignment="true" applyBorder="false" applyFill="true" applyFont="true" applyNumberFormat="false" applyProtection="false" borderId="53" fillId="39" fontId="6" numFmtId="0" xfId="0">
      <alignment vertical="center" wrapText="true"/>
    </xf>
    <xf applyAlignment="true" applyBorder="false" applyFill="true" applyFont="true" applyNumberFormat="false" applyProtection="false" borderId="52" fillId="39" fontId="6" numFmtId="0" xfId="0">
      <alignment vertical="center" wrapText="true"/>
    </xf>
    <xf applyAlignment="true" applyBorder="false" applyFill="true" applyFont="true" applyNumberFormat="false" applyProtection="false" borderId="52" fillId="39" fontId="6" numFmtId="0" xfId="0">
      <alignment horizontal="center" vertical="center"/>
    </xf>
    <xf applyAlignment="true" applyBorder="false" applyFill="false" applyFont="true" applyNumberFormat="false" applyProtection="false" borderId="52" fillId="0" fontId="6" numFmtId="0" xfId="0">
      <alignment vertical="center" wrapText="true"/>
    </xf>
    <xf applyAlignment="true" applyBorder="false" applyFill="true" applyFont="true" applyNumberFormat="false" applyProtection="false" borderId="52" fillId="39" fontId="6" numFmtId="0" xfId="0">
      <alignment horizontal="center" vertical="center" wrapText="true"/>
    </xf>
    <xf applyAlignment="true" applyBorder="false" applyFill="false" applyFont="true" applyNumberFormat="false" applyProtection="false" borderId="52" fillId="0" fontId="6" numFmtId="0" xfId="0">
      <alignment horizontal="center" vertical="center" wrapText="true"/>
    </xf>
    <xf applyAlignment="true" applyBorder="false" applyFill="false" applyFont="true" applyNumberFormat="false" applyProtection="false" borderId="52" fillId="0" fontId="6" numFmtId="0" xfId="0">
      <alignment horizontal="center" vertical="center"/>
    </xf>
    <xf applyAlignment="true" applyBorder="false" applyFill="true" applyFont="true" applyNumberFormat="false" applyProtection="false" borderId="52" fillId="39" fontId="6" numFmtId="0" xfId="0">
      <alignment vertical="center" wrapText="true"/>
    </xf>
    <xf applyAlignment="true" applyBorder="false" applyFill="true" applyFont="true" applyNumberFormat="false" applyProtection="false" borderId="54" fillId="39" fontId="6" numFmtId="0" xfId="0">
      <alignment vertical="center" wrapText="true"/>
    </xf>
    <xf applyAlignment="true" applyBorder="false" applyFill="true" applyFont="true" applyNumberFormat="false" applyProtection="false" borderId="54" fillId="39" fontId="6" numFmtId="0" xfId="0">
      <alignment horizontal="center" vertical="center"/>
    </xf>
    <xf applyAlignment="true" applyBorder="false" applyFill="true" applyFont="true" applyNumberFormat="false" applyProtection="false" borderId="52" fillId="40" fontId="6" numFmtId="0" xfId="0">
      <alignment horizontal="center" vertical="center"/>
    </xf>
    <xf applyAlignment="true" applyBorder="false" applyFill="true" applyFont="true" applyNumberFormat="false" applyProtection="false" borderId="52" fillId="40" fontId="6" numFmtId="0" xfId="0">
      <alignment horizontal="center" vertical="center" wrapText="true"/>
    </xf>
    <xf applyAlignment="true" applyBorder="false" applyFill="true" applyFont="true" applyNumberFormat="false" applyProtection="false" borderId="52" fillId="40" fontId="6" numFmtId="0" xfId="0">
      <alignment vertical="center" wrapText="true"/>
    </xf>
    <xf applyAlignment="true" applyBorder="false" applyFill="true" applyFont="true" applyNumberFormat="false" applyProtection="false" borderId="52" fillId="40" fontId="6" numFmtId="0" xfId="0">
      <alignment vertical="center" wrapText="true"/>
    </xf>
    <xf applyAlignment="true" applyBorder="false" applyFill="true" applyFont="true" applyNumberFormat="false" applyProtection="false" borderId="52" fillId="40" fontId="6" numFmtId="0" xfId="0">
      <alignment vertical="center"/>
    </xf>
    <xf applyAlignment="true" applyBorder="false" applyFill="true" applyFont="true" applyNumberFormat="false" applyProtection="false" borderId="52" fillId="41" fontId="6" numFmtId="0" xfId="0">
      <alignment horizontal="center" vertical="center"/>
    </xf>
    <xf applyAlignment="true" applyBorder="false" applyFill="true" applyFont="true" applyNumberFormat="false" applyProtection="false" borderId="52" fillId="41" fontId="6" numFmtId="0" xfId="0">
      <alignment horizontal="center" vertical="center" wrapText="true"/>
    </xf>
    <xf applyAlignment="true" applyBorder="false" applyFill="true" applyFont="true" applyNumberFormat="false" applyProtection="false" borderId="52" fillId="41" fontId="6" numFmtId="0" xfId="0">
      <alignment vertical="center" wrapText="true"/>
    </xf>
    <xf applyAlignment="true" applyBorder="false" applyFill="true" applyFont="true" applyNumberFormat="false" applyProtection="false" borderId="52" fillId="41" fontId="6" numFmtId="0" xfId="0">
      <alignment vertical="center" wrapText="true"/>
    </xf>
    <xf applyAlignment="true" applyBorder="false" applyFill="true" applyFont="true" applyNumberFormat="false" applyProtection="false" borderId="52" fillId="41" fontId="6"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16" numFmtId="0" xfId="0">
      <alignment horizontal="center" vertical="center"/>
    </xf>
    <xf applyAlignment="true" applyBorder="false" applyFill="true" applyFont="true" applyNumberFormat="false" applyProtection="false" borderId="55" fillId="42" fontId="5" numFmtId="0" xfId="0">
      <alignment horizontal="center" vertical="center"/>
    </xf>
    <xf applyAlignment="true" applyBorder="false" applyFill="true" applyFont="true" applyNumberFormat="false" applyProtection="false" borderId="56" fillId="42" fontId="5" numFmtId="0" xfId="0">
      <alignment horizontal="center" vertical="center"/>
    </xf>
    <xf applyAlignment="true" applyBorder="false" applyFill="true" applyFont="true" applyNumberFormat="false" applyProtection="false" borderId="55" fillId="42" fontId="5" numFmtId="0" xfId="0">
      <alignment horizontal="center" vertical="center"/>
    </xf>
    <xf applyAlignment="true" applyBorder="false" applyFill="false" applyFont="true" applyNumberFormat="false" applyProtection="false" borderId="57" fillId="0" fontId="6" numFmtId="0" xfId="0">
      <alignment horizontal="center" vertical="center" wrapText="true"/>
    </xf>
    <xf applyAlignment="true" applyBorder="false" applyFill="false" applyFont="true" applyNumberFormat="false" applyProtection="false" borderId="57" fillId="0" fontId="6" numFmtId="0" xfId="0">
      <alignment horizontal="center" vertical="center" wrapText="true"/>
    </xf>
    <xf applyAlignment="true" applyBorder="false" applyFill="false" applyFont="true" applyNumberFormat="false" applyProtection="false" borderId="58" fillId="0" fontId="6" numFmtId="0" xfId="0">
      <alignment vertical="center" wrapText="true"/>
    </xf>
    <xf applyAlignment="true" applyBorder="false" applyFill="false" applyFont="true" applyNumberFormat="false" applyProtection="false" borderId="57" fillId="0" fontId="6" numFmtId="0" xfId="0">
      <alignment vertical="center" wrapText="true"/>
    </xf>
    <xf applyAlignment="true" applyBorder="false" applyFill="false" applyFont="true" applyNumberFormat="false" applyProtection="false" borderId="57" fillId="0" fontId="6" numFmtId="0" xfId="0">
      <alignment vertical="center" wrapText="true"/>
    </xf>
    <xf applyAlignment="true" applyBorder="false" applyFill="false" applyFont="true" applyNumberFormat="false" applyProtection="false" borderId="57" fillId="0" fontId="6" numFmtId="0" xfId="0">
      <alignment vertical="bottom" wrapText="true"/>
    </xf>
    <xf applyAlignment="true" applyBorder="false" applyFill="false" applyFont="true" applyNumberFormat="false" applyProtection="false" borderId="57" fillId="0" fontId="6" numFmtId="0" xfId="0">
      <alignment horizontal="center" vertical="center"/>
    </xf>
    <xf applyAlignment="true" applyBorder="false" applyFill="false" applyFont="true" applyNumberFormat="false" applyProtection="false" borderId="59" fillId="0" fontId="6" numFmtId="0" xfId="0">
      <alignment vertical="center"/>
    </xf>
    <xf applyAlignment="true" applyBorder="false" applyFill="false" applyFont="true" applyNumberFormat="false" applyProtection="false" borderId="57" fillId="0" fontId="6" numFmtId="0" xfId="0">
      <alignment horizontal="left" vertical="center"/>
    </xf>
    <xf applyAlignment="true" applyBorder="false" applyFill="true" applyFont="true" applyNumberFormat="false" applyProtection="false" borderId="57" fillId="43" fontId="6" numFmtId="0" xfId="0">
      <alignment horizontal="center" vertical="center"/>
    </xf>
    <xf applyAlignment="true" applyBorder="false" applyFill="true" applyFont="true" applyNumberFormat="false" applyProtection="false" borderId="57" fillId="43" fontId="6" numFmtId="0" xfId="0">
      <alignment horizontal="center" vertical="center" wrapText="true"/>
    </xf>
    <xf applyAlignment="true" applyBorder="false" applyFill="true" applyFont="true" applyNumberFormat="false" applyProtection="false" borderId="58" fillId="43" fontId="6" numFmtId="0" xfId="0">
      <alignment vertical="center" wrapText="true"/>
    </xf>
    <xf applyAlignment="true" applyBorder="false" applyFill="true" applyFont="true" applyNumberFormat="false" applyProtection="false" borderId="57" fillId="43" fontId="6" numFmtId="0" xfId="0">
      <alignment vertical="center" wrapText="true"/>
    </xf>
    <xf applyAlignment="true" applyBorder="false" applyFill="true" applyFont="true" applyNumberFormat="false" applyProtection="false" borderId="57" fillId="43" fontId="6" numFmtId="0" xfId="0">
      <alignment horizontal="center" vertical="center"/>
    </xf>
    <xf applyAlignment="true" applyBorder="false" applyFill="true" applyFont="true" applyNumberFormat="false" applyProtection="false" borderId="57" fillId="43" fontId="6" numFmtId="0" xfId="0">
      <alignment vertical="center" wrapText="true"/>
    </xf>
    <xf applyAlignment="true" applyBorder="false" applyFill="true" applyFont="true" applyNumberFormat="false" applyProtection="false" borderId="57" fillId="43" fontId="6" numFmtId="0" xfId="0">
      <alignment horizontal="center" vertical="center" wrapText="true"/>
    </xf>
    <xf applyAlignment="true" applyBorder="false" applyFill="false" applyFont="true" applyNumberFormat="false" applyProtection="false" borderId="57" fillId="0" fontId="6" numFmtId="0" xfId="0">
      <alignment horizontal="center" vertical="center" wrapText="true"/>
    </xf>
    <xf applyAlignment="true" applyBorder="false" applyFill="false" applyFont="true" applyNumberFormat="false" applyProtection="false" borderId="57" fillId="0" fontId="6" numFmtId="0" xfId="0">
      <alignment horizontal="center" vertical="center"/>
    </xf>
    <xf applyAlignment="true" applyBorder="false" applyFill="true" applyFont="true" applyNumberFormat="false" applyProtection="false" borderId="57" fillId="44" fontId="6" numFmtId="0" xfId="0">
      <alignment horizontal="center" vertical="center"/>
    </xf>
    <xf applyAlignment="true" applyBorder="false" applyFill="true" applyFont="true" applyNumberFormat="false" applyProtection="false" borderId="57" fillId="44" fontId="6" numFmtId="0" xfId="0">
      <alignment horizontal="center" vertical="center" wrapText="true"/>
    </xf>
    <xf applyAlignment="true" applyBorder="false" applyFill="true" applyFont="true" applyNumberFormat="false" applyProtection="false" borderId="57" fillId="44" fontId="6" numFmtId="0" xfId="0">
      <alignment vertical="center" wrapText="true"/>
    </xf>
    <xf applyAlignment="true" applyBorder="false" applyFill="true" applyFont="true" applyNumberFormat="false" applyProtection="false" borderId="57" fillId="44" fontId="6" numFmtId="0" xfId="0">
      <alignment vertical="center" wrapText="true"/>
    </xf>
    <xf applyAlignment="true" applyBorder="false" applyFill="true" applyFont="true" applyNumberFormat="false" applyProtection="false" borderId="57" fillId="44" fontId="6" numFmtId="0" xfId="0">
      <alignment vertical="center" wrapText="true"/>
    </xf>
    <xf applyAlignment="true" applyBorder="false" applyFill="true" applyFont="true" applyNumberFormat="false" applyProtection="false" borderId="57" fillId="44" fontId="6" numFmtId="0" xfId="0">
      <alignment vertical="center"/>
    </xf>
    <xf applyAlignment="true" applyBorder="false" applyFill="true" applyFont="true" applyNumberFormat="false" applyProtection="false" borderId="57" fillId="45" fontId="6" numFmtId="0" xfId="0">
      <alignment horizontal="center" vertical="center"/>
    </xf>
    <xf applyAlignment="true" applyBorder="false" applyFill="true" applyFont="true" applyNumberFormat="false" applyProtection="false" borderId="57" fillId="45" fontId="6" numFmtId="0" xfId="0">
      <alignment horizontal="center" vertical="center" wrapText="true"/>
    </xf>
    <xf applyAlignment="true" applyBorder="false" applyFill="true" applyFont="true" applyNumberFormat="false" applyProtection="false" borderId="57" fillId="45" fontId="6" numFmtId="0" xfId="0">
      <alignment vertical="center" wrapText="true"/>
    </xf>
    <xf applyAlignment="true" applyBorder="false" applyFill="true" applyFont="true" applyNumberFormat="false" applyProtection="false" borderId="57" fillId="45" fontId="6" numFmtId="0" xfId="0">
      <alignment vertical="center" wrapText="true"/>
    </xf>
    <xf applyAlignment="true" applyBorder="false" applyFill="true" applyFont="true" applyNumberFormat="false" applyProtection="false" borderId="57" fillId="45" fontId="6" numFmtId="0" xfId="0">
      <alignment vertical="center"/>
    </xf>
    <xf applyAlignment="true" applyBorder="false" applyFill="false" applyFont="true" applyNumberFormat="false" applyProtection="false" borderId="59" fillId="0" fontId="6" numFmtId="0" xfId="0">
      <alignment vertical="center"/>
    </xf>
    <xf applyAlignment="true" applyBorder="false" applyFill="false" applyFont="true" applyNumberFormat="false" applyProtection="false" borderId="57" fillId="0" fontId="6" numFmtId="0" xfId="0">
      <alignment vertical="bottom" wrapText="true"/>
    </xf>
    <xf applyAlignment="true" applyBorder="false" applyFill="false" applyFont="true" applyNumberFormat="false" applyProtection="false" borderId="57" fillId="0" fontId="6" numFmtId="0" xfId="0">
      <alignment vertical="bottom" wrapText="true"/>
    </xf>
    <xf applyAlignment="true" applyBorder="false" applyFill="true" applyFont="true" applyNumberFormat="false" applyProtection="false" borderId="57" fillId="46" fontId="6" numFmtId="0" xfId="0">
      <alignment horizontal="center" vertical="center" wrapText="true"/>
    </xf>
    <xf applyAlignment="true" applyBorder="false" applyFill="true" applyFont="true" applyNumberFormat="false" applyProtection="false" borderId="57" fillId="46" fontId="6" numFmtId="0" xfId="0">
      <alignment horizontal="center" vertical="center" wrapText="true"/>
    </xf>
    <xf applyAlignment="true" applyBorder="false" applyFill="true" applyFont="true" applyNumberFormat="false" applyProtection="false" borderId="57" fillId="46" fontId="6" numFmtId="0" xfId="0">
      <alignment vertical="center" wrapText="true"/>
    </xf>
    <xf applyAlignment="true" applyBorder="false" applyFill="true" applyFont="true" applyNumberFormat="false" applyProtection="false" borderId="57" fillId="46" fontId="6" numFmtId="0" xfId="0">
      <alignment vertical="center" wrapText="true"/>
    </xf>
    <xf applyAlignment="true" applyBorder="false" applyFill="true" applyFont="true" applyNumberFormat="false" applyProtection="false" borderId="57" fillId="46" fontId="6"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6"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4e83fd"/>
    <outlinePr summaryBelow="false" summaryRight="false"/>
  </sheetPr>
  <dimension ref="A1"/>
  <sheetViews>
    <sheetView showGridLines="true" tabSelected="true" workbookViewId="0">
      <pane state="frozen" topLeftCell="E1" xSplit="4"/>
    </sheetView>
  </sheetViews>
  <sheetFormatPr defaultColWidth="12" defaultRowHeight="18"/>
  <cols>
    <col collapsed="false" customWidth="true" hidden="false" max="11" min="11" style="0" width="20"/>
    <col collapsed="false" customWidth="true" hidden="false" max="15" min="15" style="0" width="19"/>
    <col collapsed="false" customWidth="true" hidden="false" max="2" min="2" style="0" width="13"/>
    <col collapsed="false" customWidth="true" hidden="false" max="6" min="6" style="0" width="48"/>
    <col collapsed="false" customWidth="true" hidden="false" max="10" min="10" style="0" width="21"/>
    <col collapsed="false" customWidth="true" hidden="false" max="14" min="14" style="0" width="20"/>
    <col collapsed="false" customWidth="true" hidden="false" max="1" min="1" style="0" width="8"/>
    <col collapsed="false" customWidth="true" hidden="false" max="5" min="5" style="0" width="48"/>
    <col collapsed="false" customWidth="true" hidden="false" max="9" min="9" style="0" width="19"/>
    <col collapsed="false" customWidth="true" hidden="false" max="13" min="13" style="0" width="22"/>
    <col collapsed="false" customWidth="true" hidden="false" max="4" min="4" style="0" width="39"/>
    <col collapsed="false" customWidth="true" hidden="false" max="8" min="8" style="0" width="19"/>
    <col collapsed="false" customWidth="true" hidden="false" max="12" min="12" style="0" width="19"/>
    <col collapsed="false" customWidth="true" hidden="false" max="3" min="3" style="0" width="10"/>
    <col collapsed="false" customWidth="true" hidden="false" max="7" min="7" style="0" width="27"/>
  </cols>
  <sheetData>
    <row r="1">
      <c r="A1" s="1" t="s">
        <v>1</v>
      </c>
      <c r="B1" s="1"/>
      <c r="C1" s="1"/>
      <c r="D1" s="1"/>
      <c r="E1" s="1"/>
      <c r="F1" s="1"/>
      <c r="G1" s="1"/>
      <c r="H1" s="1"/>
      <c r="I1" s="1"/>
      <c r="J1" s="1"/>
      <c r="K1" s="1"/>
      <c r="L1" s="1"/>
      <c r="M1" s="1"/>
      <c r="N1" s="1"/>
      <c r="O1" s="1"/>
    </row>
    <row customHeight="true" ht="22" r="2">
      <c r="A2" s="2"/>
      <c r="B2" s="2"/>
      <c r="C2" s="2"/>
      <c r="D2" s="2"/>
      <c r="E2" s="2"/>
      <c r="F2" s="2"/>
      <c r="G2" s="2"/>
      <c r="H2" s="2"/>
      <c r="I2" s="2"/>
      <c r="J2" s="2"/>
      <c r="K2" s="2"/>
      <c r="L2" s="2"/>
      <c r="M2" s="2"/>
      <c r="N2" s="2"/>
      <c r="O2" s="2"/>
    </row>
    <row r="3">
      <c r="A3" s="3" t="s">
        <v>2</v>
      </c>
      <c r="B3" s="3"/>
      <c r="C3" s="3"/>
      <c r="D3" s="3"/>
      <c r="E3" s="4" t="s">
        <v>3</v>
      </c>
      <c r="F3" s="4"/>
      <c r="G3" s="4"/>
      <c r="H3" s="4"/>
      <c r="I3" s="4"/>
      <c r="J3" s="4"/>
      <c r="K3" s="4"/>
      <c r="L3" s="4"/>
      <c r="M3" s="4"/>
      <c r="N3" s="4"/>
      <c r="O3" s="4"/>
    </row>
    <row r="4">
      <c r="A4" s="5" t="s">
        <v>4</v>
      </c>
      <c r="B4" s="6" t="s">
        <v>5</v>
      </c>
      <c r="C4" s="5" t="s">
        <v>6</v>
      </c>
      <c r="D4" s="5" t="s">
        <v>7</v>
      </c>
      <c r="E4" s="6" t="s">
        <v>8</v>
      </c>
      <c r="F4" s="7" t="s">
        <v>9</v>
      </c>
      <c r="G4" s="8" t="s">
        <v>10</v>
      </c>
      <c r="H4" s="5" t="s">
        <v>11</v>
      </c>
      <c r="I4" s="5" t="s">
        <v>12</v>
      </c>
      <c r="J4" s="5"/>
      <c r="K4" s="6" t="s">
        <v>13</v>
      </c>
      <c r="L4" s="6" t="s">
        <v>14</v>
      </c>
      <c r="M4" s="6" t="s">
        <v>15</v>
      </c>
      <c r="N4" s="9" t="s">
        <v>16</v>
      </c>
      <c r="O4" s="10" t="s">
        <v>17</v>
      </c>
    </row>
    <row r="5">
      <c r="A5" s="5"/>
      <c r="B5" s="6"/>
      <c r="C5" s="5"/>
      <c r="D5" s="5"/>
      <c r="E5" s="6"/>
      <c r="F5" s="11"/>
      <c r="G5" s="8"/>
      <c r="H5" s="5"/>
      <c r="I5" s="5" t="s">
        <v>18</v>
      </c>
      <c r="J5" s="5" t="s">
        <v>19</v>
      </c>
      <c r="K5" s="5"/>
      <c r="L5" s="5"/>
      <c r="M5" s="5"/>
      <c r="N5" s="10"/>
      <c r="O5" s="10"/>
    </row>
    <row r="6">
      <c r="A6" s="12">
        <v>1</v>
      </c>
      <c r="B6" s="13" t="s">
        <v>20</v>
      </c>
      <c r="C6" s="14" t="s">
        <v>21</v>
      </c>
      <c r="D6" s="15" t="s">
        <v>22</v>
      </c>
      <c r="E6" s="16" t="s">
        <v>23</v>
      </c>
      <c r="F6" s="17" t="s">
        <v>24</v>
      </c>
      <c r="G6" s="18" t="s">
        <v>25</v>
      </c>
      <c r="H6" s="19">
        <v>9</v>
      </c>
      <c r="I6" s="19">
        <v>5</v>
      </c>
      <c r="J6" s="19">
        <v>4</v>
      </c>
      <c r="K6" s="19">
        <v>2</v>
      </c>
      <c r="L6" s="19">
        <v>2</v>
      </c>
      <c r="M6" s="19">
        <v>0</v>
      </c>
      <c r="N6" s="19">
        <f t="shared" ref="N6:N11" si="0">SUM(H6:M6)</f>
      </c>
      <c r="O6" s="19">
        <f t="shared" ref="O6:O11" si="1">N6*2</f>
      </c>
    </row>
    <row r="7">
      <c r="A7" s="19">
        <v>2</v>
      </c>
      <c r="B7" s="13" t="s">
        <v>26</v>
      </c>
      <c r="C7" s="14"/>
      <c r="D7" s="15" t="s">
        <v>27</v>
      </c>
      <c r="E7" s="20" t="s">
        <v>28</v>
      </c>
      <c r="F7" s="21" t="s">
        <v>29</v>
      </c>
      <c r="G7" s="20" t="s">
        <v>25</v>
      </c>
      <c r="H7" s="19">
        <v>5</v>
      </c>
      <c r="I7" s="19">
        <v>2</v>
      </c>
      <c r="J7" s="19">
        <v>1</v>
      </c>
      <c r="K7" s="19">
        <v>1</v>
      </c>
      <c r="L7" s="19">
        <v>1</v>
      </c>
      <c r="M7" s="19">
        <v>0</v>
      </c>
      <c r="N7" s="19">
        <f t="shared" si="0"/>
      </c>
      <c r="O7" s="19">
        <f t="shared" si="1"/>
      </c>
    </row>
    <row r="8">
      <c r="A8" s="19">
        <v>3</v>
      </c>
      <c r="B8" s="13" t="s">
        <v>30</v>
      </c>
      <c r="C8" s="14"/>
      <c r="D8" s="15" t="s">
        <v>31</v>
      </c>
      <c r="E8" s="22" t="s">
        <v>32</v>
      </c>
      <c r="F8" s="20" t="s">
        <v>33</v>
      </c>
      <c r="G8" s="20" t="s">
        <v>25</v>
      </c>
      <c r="H8" s="19">
        <v>4</v>
      </c>
      <c r="I8" s="19">
        <v>2</v>
      </c>
      <c r="J8" s="19">
        <v>2</v>
      </c>
      <c r="K8" s="19">
        <v>1</v>
      </c>
      <c r="L8" s="19">
        <v>1</v>
      </c>
      <c r="M8" s="19">
        <v>0</v>
      </c>
      <c r="N8" s="19">
        <f t="shared" si="0"/>
      </c>
      <c r="O8" s="19">
        <f t="shared" si="1"/>
      </c>
    </row>
    <row r="9">
      <c r="A9" s="19">
        <v>4</v>
      </c>
      <c r="B9" s="13" t="s">
        <v>34</v>
      </c>
      <c r="C9" s="14"/>
      <c r="D9" s="15" t="s">
        <v>35</v>
      </c>
      <c r="E9" s="20" t="s">
        <v>36</v>
      </c>
      <c r="F9" s="20" t="s">
        <v>37</v>
      </c>
      <c r="G9" s="20" t="s">
        <v>25</v>
      </c>
      <c r="H9" s="19">
        <v>10</v>
      </c>
      <c r="I9" s="19">
        <v>5</v>
      </c>
      <c r="J9" s="19">
        <v>4</v>
      </c>
      <c r="K9" s="19">
        <v>2</v>
      </c>
      <c r="L9" s="19">
        <v>2</v>
      </c>
      <c r="M9" s="19">
        <v>0</v>
      </c>
      <c r="N9" s="19">
        <f t="shared" si="0"/>
      </c>
      <c r="O9" s="19">
        <f t="shared" si="1"/>
      </c>
    </row>
    <row r="10">
      <c r="A10" s="19">
        <v>5</v>
      </c>
      <c r="B10" s="13" t="s">
        <v>38</v>
      </c>
      <c r="C10" s="14"/>
      <c r="D10" s="15" t="s">
        <v>39</v>
      </c>
      <c r="E10" s="20" t="s">
        <v>40</v>
      </c>
      <c r="F10" s="20" t="s">
        <v>41</v>
      </c>
      <c r="G10" s="20" t="s">
        <v>25</v>
      </c>
      <c r="H10" s="19">
        <v>4</v>
      </c>
      <c r="I10" s="19">
        <v>2</v>
      </c>
      <c r="J10" s="19">
        <v>2</v>
      </c>
      <c r="K10" s="19">
        <v>1</v>
      </c>
      <c r="L10" s="19">
        <v>1</v>
      </c>
      <c r="M10" s="19">
        <v>0</v>
      </c>
      <c r="N10" s="19">
        <f t="shared" si="0"/>
      </c>
      <c r="O10" s="19">
        <f t="shared" si="1"/>
      </c>
    </row>
    <row r="11">
      <c r="A11" s="19">
        <v>6</v>
      </c>
      <c r="B11" s="13" t="s">
        <v>42</v>
      </c>
      <c r="C11" s="14"/>
      <c r="D11" s="15" t="s">
        <v>43</v>
      </c>
      <c r="E11" s="20" t="s">
        <v>44</v>
      </c>
      <c r="F11" s="20" t="s">
        <v>45</v>
      </c>
      <c r="G11" s="20" t="s">
        <v>46</v>
      </c>
      <c r="H11" s="19">
        <v>10</v>
      </c>
      <c r="I11" s="19">
        <v>5</v>
      </c>
      <c r="J11" s="19">
        <v>5</v>
      </c>
      <c r="K11" s="19">
        <v>2</v>
      </c>
      <c r="L11" s="19">
        <v>2</v>
      </c>
      <c r="M11" s="19">
        <v>6</v>
      </c>
      <c r="N11" s="19">
        <f t="shared" si="0"/>
      </c>
      <c r="O11" s="19">
        <f t="shared" si="1"/>
      </c>
    </row>
    <row r="12">
      <c r="A12" s="23" t="s">
        <v>47</v>
      </c>
      <c r="B12" s="24"/>
      <c r="C12" s="24"/>
      <c r="D12" s="24"/>
      <c r="E12" s="25" t="s">
        <v>48</v>
      </c>
      <c r="F12" s="25"/>
      <c r="G12" s="26"/>
      <c r="H12" s="27">
        <f>SUM(H6:H11)</f>
      </c>
      <c r="I12" s="27">
        <f>SUM(I6:I11)</f>
      </c>
      <c r="J12" s="27">
        <f>SUM(J6:J11)</f>
      </c>
      <c r="K12" s="27">
        <f>SUM(K6:K11)</f>
      </c>
      <c r="L12" s="27">
        <f>SUM(L6:L11)</f>
      </c>
      <c r="M12" s="27">
        <f>SUM(M6:M11)</f>
      </c>
      <c r="N12" s="27">
        <f>SUM(N6:N11)</f>
      </c>
      <c r="O12" s="27">
        <f>SUM(O6:O11)</f>
      </c>
    </row>
  </sheetData>
  <mergeCells>
    <mergeCell ref="A2:O2"/>
    <mergeCell ref="H4:H5"/>
    <mergeCell ref="I4:J4"/>
    <mergeCell ref="K4:K5"/>
    <mergeCell ref="L4:L5"/>
    <mergeCell ref="M4:M5"/>
    <mergeCell ref="N4:N5"/>
    <mergeCell ref="O4:O5"/>
    <mergeCell ref="G4:G5"/>
    <mergeCell ref="A1:O1"/>
    <mergeCell ref="E3:O3"/>
    <mergeCell ref="F4:F5"/>
    <mergeCell ref="A4:A5"/>
    <mergeCell ref="B4:B5"/>
    <mergeCell ref="C4:C5"/>
    <mergeCell ref="D4:D5"/>
    <mergeCell ref="E4:E5"/>
    <mergeCell ref="A3:D3"/>
    <mergeCell ref="C6:C11"/>
    <mergeCell ref="A12:D12"/>
  </mergeCells>
  <dataValidations count="1">
    <dataValidation allowBlank="true" errorStyle="stop" showErrorMessage="true" sqref="G6:G11" type="list">
      <formula1>"Thi thực hành,Project"</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14c0ff"/>
    <outlinePr summaryBelow="false" summaryRight="false"/>
  </sheetPr>
  <dimension ref="A1"/>
  <sheetViews>
    <sheetView showGridLines="true" workbookViewId="0">
      <pane state="frozen" topLeftCell="E1" xSplit="4"/>
    </sheetView>
  </sheetViews>
  <sheetFormatPr defaultColWidth="12" defaultRowHeight="18"/>
  <cols>
    <col collapsed="false" customWidth="true" hidden="false" max="3" min="3" style="0" width="10"/>
    <col collapsed="false" customWidth="true" hidden="false" max="8" min="8" style="0" width="20"/>
    <col collapsed="false" customWidth="true" hidden="false" max="12" min="12" style="0" width="20"/>
    <col collapsed="false" customWidth="true" hidden="false" max="4" min="4" style="0" width="42"/>
    <col collapsed="false" customWidth="true" hidden="false" max="9" min="9" style="0" width="20"/>
    <col collapsed="false" customWidth="true" hidden="false" max="13" min="13" style="0" width="22"/>
    <col collapsed="false" customWidth="true" hidden="false" max="1" min="1" style="0" width="8"/>
    <col collapsed="false" customWidth="true" hidden="false" max="5" min="5" style="0" width="48"/>
    <col collapsed="false" customWidth="true" hidden="false" max="6" min="6" style="0" width="48"/>
    <col collapsed="false" customWidth="true" hidden="false" max="10" min="10" style="0" width="20"/>
    <col collapsed="false" customWidth="true" hidden="false" max="14" min="14" style="0" width="20"/>
    <col collapsed="false" customWidth="true" hidden="false" max="2" min="2" style="0" width="13"/>
    <col collapsed="false" customWidth="true" hidden="false" max="7" min="7" style="0" width="20"/>
    <col collapsed="false" customWidth="true" hidden="false" max="11" min="11" style="0" width="20"/>
    <col collapsed="false" customWidth="true" hidden="false" max="15" min="15" style="0" width="19"/>
  </cols>
  <sheetData>
    <row r="1">
      <c r="A1" s="28" t="s">
        <v>49</v>
      </c>
      <c r="B1" s="28"/>
      <c r="C1" s="28"/>
      <c r="D1" s="28"/>
      <c r="E1" s="28"/>
      <c r="F1" s="28"/>
      <c r="G1" s="28"/>
      <c r="H1" s="28"/>
      <c r="I1" s="28"/>
      <c r="J1" s="28"/>
      <c r="K1" s="28"/>
      <c r="L1" s="28"/>
      <c r="M1" s="28"/>
      <c r="N1" s="28"/>
      <c r="O1" s="28"/>
    </row>
    <row customHeight="true" ht="22" r="2">
      <c r="A2" s="29"/>
      <c r="B2" s="29"/>
      <c r="C2" s="29"/>
      <c r="D2" s="29"/>
      <c r="E2" s="29"/>
      <c r="F2" s="29"/>
      <c r="G2" s="29"/>
      <c r="H2" s="29"/>
      <c r="I2" s="29"/>
      <c r="J2" s="29"/>
      <c r="K2" s="29"/>
      <c r="L2" s="29"/>
      <c r="M2" s="29"/>
      <c r="N2" s="29"/>
      <c r="O2" s="29"/>
    </row>
    <row r="3">
      <c r="A3" s="30" t="s">
        <v>50</v>
      </c>
      <c r="B3" s="30"/>
      <c r="C3" s="30"/>
      <c r="D3" s="30"/>
      <c r="E3" s="31" t="s">
        <v>51</v>
      </c>
      <c r="F3" s="31"/>
      <c r="G3" s="32"/>
      <c r="H3" s="32"/>
      <c r="I3" s="32"/>
      <c r="J3" s="32"/>
      <c r="K3" s="32"/>
      <c r="L3" s="32"/>
      <c r="M3" s="32"/>
      <c r="N3" s="32"/>
      <c r="O3" s="32"/>
    </row>
    <row r="4">
      <c r="A4" s="33" t="s">
        <v>52</v>
      </c>
      <c r="B4" s="34" t="s">
        <v>53</v>
      </c>
      <c r="C4" s="33" t="s">
        <v>54</v>
      </c>
      <c r="D4" s="33" t="s">
        <v>55</v>
      </c>
      <c r="E4" s="34" t="s">
        <v>56</v>
      </c>
      <c r="F4" s="34" t="s">
        <v>57</v>
      </c>
      <c r="G4" s="34" t="s">
        <v>58</v>
      </c>
      <c r="H4" s="33" t="s">
        <v>59</v>
      </c>
      <c r="I4" s="33" t="s">
        <v>60</v>
      </c>
      <c r="J4" s="33"/>
      <c r="K4" s="34" t="s">
        <v>61</v>
      </c>
      <c r="L4" s="34" t="s">
        <v>62</v>
      </c>
      <c r="M4" s="34" t="s">
        <v>63</v>
      </c>
      <c r="N4" s="35" t="s">
        <v>64</v>
      </c>
      <c r="O4" s="36" t="s">
        <v>65</v>
      </c>
    </row>
    <row r="5">
      <c r="A5" s="33"/>
      <c r="B5" s="34"/>
      <c r="C5" s="33"/>
      <c r="D5" s="33"/>
      <c r="E5" s="34"/>
      <c r="F5" s="34"/>
      <c r="G5" s="34"/>
      <c r="H5" s="33"/>
      <c r="I5" s="33" t="s">
        <v>66</v>
      </c>
      <c r="J5" s="33" t="s">
        <v>67</v>
      </c>
      <c r="K5" s="33"/>
      <c r="L5" s="33"/>
      <c r="M5" s="33"/>
      <c r="N5" s="36"/>
      <c r="O5" s="36"/>
    </row>
    <row customHeight="true" ht="178" r="6">
      <c r="A6" s="37">
        <v>7</v>
      </c>
      <c r="B6" s="38" t="s">
        <v>68</v>
      </c>
      <c r="C6" s="39" t="s">
        <v>69</v>
      </c>
      <c r="D6" s="40" t="s">
        <v>70</v>
      </c>
      <c r="E6" s="41" t="s">
        <v>71</v>
      </c>
      <c r="F6" s="41" t="s">
        <v>72</v>
      </c>
      <c r="G6" s="42" t="s">
        <v>73</v>
      </c>
      <c r="H6" s="43">
        <v>5</v>
      </c>
      <c r="I6" s="43">
        <v>1</v>
      </c>
      <c r="J6" s="43">
        <v>1</v>
      </c>
      <c r="K6" s="43">
        <v>1</v>
      </c>
      <c r="L6" s="43">
        <v>2</v>
      </c>
      <c r="M6" s="43">
        <v>0</v>
      </c>
      <c r="N6" s="43">
        <f>SUM(H6:L6)</f>
      </c>
      <c r="O6" s="43">
        <f t="shared" ref="O6:O9" si="0">N6*2</f>
      </c>
    </row>
    <row r="7">
      <c r="A7" s="44">
        <v>8</v>
      </c>
      <c r="B7" s="45" t="s">
        <v>74</v>
      </c>
      <c r="C7" s="45" t="s">
        <v>69</v>
      </c>
      <c r="D7" s="46" t="s">
        <v>75</v>
      </c>
      <c r="E7" s="47" t="s">
        <v>76</v>
      </c>
      <c r="F7" s="47" t="s">
        <v>77</v>
      </c>
      <c r="G7" s="47" t="s">
        <v>73</v>
      </c>
      <c r="H7" s="44">
        <v>10</v>
      </c>
      <c r="I7" s="44">
        <v>5</v>
      </c>
      <c r="J7" s="44">
        <v>5</v>
      </c>
      <c r="K7" s="44">
        <v>2</v>
      </c>
      <c r="L7" s="44">
        <v>2</v>
      </c>
      <c r="M7" s="44">
        <v>0</v>
      </c>
      <c r="N7" s="44">
        <f t="shared" ref="N7:N12" si="2">SUM(H7:M7)</f>
      </c>
      <c r="O7" s="44">
        <f t="shared" si="0"/>
      </c>
    </row>
    <row r="8">
      <c r="A8" s="44">
        <v>9</v>
      </c>
      <c r="B8" s="45" t="s">
        <v>78</v>
      </c>
      <c r="C8" s="45"/>
      <c r="D8" s="46" t="s">
        <v>79</v>
      </c>
      <c r="E8" s="47" t="s">
        <v>80</v>
      </c>
      <c r="F8" s="47" t="s">
        <v>81</v>
      </c>
      <c r="G8" s="47" t="s">
        <v>73</v>
      </c>
      <c r="H8" s="44">
        <v>10</v>
      </c>
      <c r="I8" s="44">
        <v>5</v>
      </c>
      <c r="J8" s="44">
        <v>5</v>
      </c>
      <c r="K8" s="44">
        <v>2</v>
      </c>
      <c r="L8" s="44">
        <v>2</v>
      </c>
      <c r="M8" s="44">
        <v>0</v>
      </c>
      <c r="N8" s="44">
        <f t="shared" si="2"/>
      </c>
      <c r="O8" s="44">
        <f t="shared" si="0"/>
      </c>
    </row>
    <row r="9">
      <c r="A9" s="44">
        <v>10</v>
      </c>
      <c r="B9" s="45" t="s">
        <v>82</v>
      </c>
      <c r="C9" s="45"/>
      <c r="D9" s="46" t="s">
        <v>83</v>
      </c>
      <c r="E9" s="47" t="s">
        <v>84</v>
      </c>
      <c r="F9" s="47" t="s">
        <v>85</v>
      </c>
      <c r="G9" s="47" t="s">
        <v>86</v>
      </c>
      <c r="H9" s="44">
        <v>15</v>
      </c>
      <c r="I9" s="44">
        <v>7</v>
      </c>
      <c r="J9" s="44">
        <v>6</v>
      </c>
      <c r="K9" s="44">
        <v>3</v>
      </c>
      <c r="L9" s="44">
        <v>1</v>
      </c>
      <c r="M9" s="44">
        <v>4</v>
      </c>
      <c r="N9" s="44">
        <f t="shared" si="2"/>
      </c>
      <c r="O9" s="44">
        <f t="shared" si="0"/>
      </c>
    </row>
    <row customHeight="true" ht="213" r="10">
      <c r="A10" s="44">
        <v>11</v>
      </c>
      <c r="B10" s="45" t="s">
        <v>87</v>
      </c>
      <c r="C10" s="45"/>
      <c r="D10" s="46" t="s">
        <v>88</v>
      </c>
      <c r="E10" s="47" t="s">
        <v>89</v>
      </c>
      <c r="F10" s="47" t="s">
        <v>90</v>
      </c>
      <c r="G10" s="47" t="s">
        <v>73</v>
      </c>
      <c r="H10" s="44">
        <v>4</v>
      </c>
      <c r="I10" s="44">
        <v>2</v>
      </c>
      <c r="J10" s="44">
        <v>2</v>
      </c>
      <c r="K10" s="44">
        <v>1</v>
      </c>
      <c r="L10" s="44">
        <v>1</v>
      </c>
      <c r="M10" s="44">
        <v>0</v>
      </c>
      <c r="N10" s="44">
        <f t="shared" si="2"/>
      </c>
      <c r="O10" s="44">
        <v>20</v>
      </c>
    </row>
    <row r="11">
      <c r="A11" s="44">
        <v>12</v>
      </c>
      <c r="B11" s="45" t="s">
        <v>91</v>
      </c>
      <c r="C11" s="45"/>
      <c r="D11" s="46" t="s">
        <v>92</v>
      </c>
      <c r="E11" s="47" t="s">
        <v>93</v>
      </c>
      <c r="F11" s="47" t="s">
        <v>94</v>
      </c>
      <c r="G11" s="47" t="s">
        <v>73</v>
      </c>
      <c r="H11" s="44">
        <v>7</v>
      </c>
      <c r="I11" s="44">
        <v>3</v>
      </c>
      <c r="J11" s="44">
        <v>3</v>
      </c>
      <c r="K11" s="44">
        <v>2</v>
      </c>
      <c r="L11" s="44">
        <v>1</v>
      </c>
      <c r="M11" s="44">
        <v>3</v>
      </c>
      <c r="N11" s="44">
        <f t="shared" si="2"/>
      </c>
      <c r="O11" s="44">
        <f t="shared" ref="O11:O12" si="1">N11*2</f>
      </c>
    </row>
    <row r="12">
      <c r="A12" s="44">
        <v>13</v>
      </c>
      <c r="B12" s="45" t="s">
        <v>95</v>
      </c>
      <c r="C12" s="45"/>
      <c r="D12" s="46" t="s">
        <v>96</v>
      </c>
      <c r="E12" s="47" t="s">
        <v>97</v>
      </c>
      <c r="F12" s="47"/>
      <c r="G12" s="47" t="s">
        <v>86</v>
      </c>
      <c r="H12" s="44">
        <v>0</v>
      </c>
      <c r="I12" s="44">
        <v>12</v>
      </c>
      <c r="J12" s="44">
        <v>0</v>
      </c>
      <c r="K12" s="44">
        <v>0</v>
      </c>
      <c r="L12" s="44">
        <v>0</v>
      </c>
      <c r="M12" s="44">
        <v>0</v>
      </c>
      <c r="N12" s="44">
        <f t="shared" si="2"/>
      </c>
      <c r="O12" s="44">
        <f t="shared" si="1"/>
      </c>
    </row>
    <row r="13">
      <c r="A13" s="48" t="s">
        <v>98</v>
      </c>
      <c r="B13" s="48"/>
      <c r="C13" s="48"/>
      <c r="D13" s="48"/>
      <c r="E13" s="49" t="s">
        <v>99</v>
      </c>
      <c r="F13" s="49"/>
      <c r="G13" s="50"/>
      <c r="H13" s="50">
        <f>SUM(H7:H12)</f>
      </c>
      <c r="I13" s="50">
        <f>SUM(I7:I12)</f>
      </c>
      <c r="J13" s="50">
        <f>SUM(J7:J12)</f>
      </c>
      <c r="K13" s="50">
        <f>SUM(K7:K12)</f>
      </c>
      <c r="L13" s="50">
        <f>SUM(L7:L12)</f>
      </c>
      <c r="M13" s="50">
        <f>SUM(M7:M12)</f>
      </c>
      <c r="N13" s="50">
        <f>SUM(N7:N12)</f>
      </c>
      <c r="O13" s="50">
        <f>SUM(O7:O12)</f>
      </c>
    </row>
  </sheetData>
  <mergeCells>
    <mergeCell ref="A13:D13"/>
    <mergeCell ref="C7:C12"/>
    <mergeCell ref="E4:E5"/>
    <mergeCell ref="D4:D5"/>
    <mergeCell ref="C4:C5"/>
    <mergeCell ref="B4:B5"/>
    <mergeCell ref="A4:A5"/>
    <mergeCell ref="A3:D3"/>
    <mergeCell ref="E3:O3"/>
    <mergeCell ref="A2:O2"/>
    <mergeCell ref="H4:H5"/>
    <mergeCell ref="I4:J4"/>
    <mergeCell ref="K4:K5"/>
    <mergeCell ref="L4:L5"/>
    <mergeCell ref="M4:M5"/>
    <mergeCell ref="N4:N5"/>
    <mergeCell ref="O4:O5"/>
    <mergeCell ref="G4:G5"/>
    <mergeCell ref="A1:O1"/>
    <mergeCell ref="F4:F5"/>
  </mergeCells>
  <dataValidations count="1">
    <dataValidation allowBlank="true" errorStyle="stop" showErrorMessage="true" sqref="G6:G12" type="list">
      <formula1>"Thi thực hành,Project"</formula1>
    </dataValidation>
  </dataValidation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00d6b9"/>
    <outlinePr summaryBelow="false" summaryRight="false"/>
  </sheetPr>
  <dimension ref="A1"/>
  <sheetViews>
    <sheetView showGridLines="true" workbookViewId="0">
      <pane state="frozen" topLeftCell="E1" xSplit="4"/>
    </sheetView>
  </sheetViews>
  <sheetFormatPr defaultColWidth="12" defaultRowHeight="18"/>
  <cols>
    <col collapsed="false" customWidth="true" hidden="false" max="3" min="3" style="0" width="10"/>
    <col collapsed="false" customWidth="true" hidden="false" max="7" min="7" style="0" width="20"/>
    <col collapsed="false" customWidth="true" hidden="false" max="11" min="11" style="0" width="20"/>
    <col collapsed="false" customWidth="true" hidden="false" max="15" min="15" style="0" width="19"/>
    <col collapsed="false" customWidth="true" hidden="false" max="2" min="2" style="0" width="13"/>
    <col collapsed="false" customWidth="true" hidden="false" max="6" min="6" style="0" width="48"/>
    <col collapsed="false" customWidth="true" hidden="false" max="10" min="10" style="0" width="20"/>
    <col collapsed="false" customWidth="true" hidden="false" max="14" min="14" style="0" width="20"/>
    <col collapsed="false" customWidth="true" hidden="false" max="1" min="1" style="0" width="8"/>
    <col collapsed="false" customWidth="true" hidden="false" max="5" min="5" style="0" width="48"/>
    <col collapsed="false" customWidth="true" hidden="false" max="9" min="9" style="0" width="20"/>
    <col collapsed="false" customWidth="true" hidden="false" max="13" min="13" style="0" width="22"/>
    <col collapsed="false" customWidth="true" hidden="false" max="4" min="4" style="0" width="41"/>
    <col collapsed="false" customWidth="true" hidden="false" max="8" min="8" style="0" width="20"/>
    <col collapsed="false" customWidth="true" hidden="false" max="12" min="12" style="0" width="20"/>
  </cols>
  <sheetData>
    <row r="1">
      <c r="A1" s="51" t="s">
        <v>100</v>
      </c>
      <c r="B1" s="52"/>
      <c r="C1" s="52"/>
      <c r="D1" s="52"/>
      <c r="E1" s="52"/>
      <c r="F1" s="52"/>
      <c r="G1" s="52"/>
      <c r="H1" s="52"/>
      <c r="I1" s="52"/>
      <c r="J1" s="52"/>
      <c r="K1" s="52"/>
      <c r="L1" s="52"/>
      <c r="M1" s="52"/>
      <c r="N1" s="52"/>
      <c r="O1" s="52"/>
    </row>
    <row customHeight="true" ht="22" r="2">
      <c r="A2" s="53"/>
      <c r="B2" s="53"/>
      <c r="C2" s="53"/>
      <c r="D2" s="53"/>
      <c r="E2" s="53"/>
      <c r="F2" s="53"/>
      <c r="G2" s="53"/>
      <c r="H2" s="53"/>
      <c r="I2" s="53"/>
      <c r="J2" s="53"/>
      <c r="K2" s="53"/>
      <c r="L2" s="53"/>
      <c r="M2" s="53"/>
      <c r="N2" s="53"/>
      <c r="O2" s="53"/>
    </row>
    <row r="3">
      <c r="A3" s="54" t="s">
        <v>101</v>
      </c>
      <c r="B3" s="54"/>
      <c r="C3" s="54"/>
      <c r="D3" s="54"/>
      <c r="E3" s="55" t="s">
        <v>102</v>
      </c>
      <c r="F3" s="55"/>
      <c r="G3" s="55"/>
      <c r="H3" s="55"/>
      <c r="I3" s="55"/>
      <c r="J3" s="55"/>
      <c r="K3" s="55"/>
      <c r="L3" s="55"/>
      <c r="M3" s="55"/>
      <c r="N3" s="55"/>
      <c r="O3" s="56"/>
    </row>
    <row r="4">
      <c r="A4" s="57" t="s">
        <v>103</v>
      </c>
      <c r="B4" s="58" t="s">
        <v>104</v>
      </c>
      <c r="C4" s="57" t="s">
        <v>105</v>
      </c>
      <c r="D4" s="57" t="s">
        <v>106</v>
      </c>
      <c r="E4" s="58" t="s">
        <v>107</v>
      </c>
      <c r="F4" s="58" t="s">
        <v>108</v>
      </c>
      <c r="G4" s="58" t="s">
        <v>109</v>
      </c>
      <c r="H4" s="57" t="s">
        <v>110</v>
      </c>
      <c r="I4" s="57" t="s">
        <v>111</v>
      </c>
      <c r="J4" s="57"/>
      <c r="K4" s="58" t="s">
        <v>112</v>
      </c>
      <c r="L4" s="58" t="s">
        <v>113</v>
      </c>
      <c r="M4" s="58" t="s">
        <v>114</v>
      </c>
      <c r="N4" s="59" t="s">
        <v>115</v>
      </c>
      <c r="O4" s="60" t="s">
        <v>116</v>
      </c>
    </row>
    <row r="5">
      <c r="A5" s="57"/>
      <c r="B5" s="58"/>
      <c r="C5" s="57"/>
      <c r="D5" s="57"/>
      <c r="E5" s="61"/>
      <c r="F5" s="58"/>
      <c r="G5" s="61"/>
      <c r="H5" s="57"/>
      <c r="I5" s="57" t="s">
        <v>117</v>
      </c>
      <c r="J5" s="57" t="s">
        <v>118</v>
      </c>
      <c r="K5" s="57"/>
      <c r="L5" s="57"/>
      <c r="M5" s="57"/>
      <c r="N5" s="62"/>
      <c r="O5" s="60"/>
    </row>
    <row r="6">
      <c r="A6" s="63">
        <v>14</v>
      </c>
      <c r="B6" s="64" t="s">
        <v>119</v>
      </c>
      <c r="C6" s="64" t="s">
        <v>120</v>
      </c>
      <c r="D6" s="65" t="s">
        <v>121</v>
      </c>
      <c r="E6" s="66" t="s">
        <v>122</v>
      </c>
      <c r="F6" s="67" t="s">
        <v>123</v>
      </c>
      <c r="G6" s="66" t="s">
        <v>124</v>
      </c>
      <c r="H6" s="68">
        <v>10</v>
      </c>
      <c r="I6" s="69">
        <v>7</v>
      </c>
      <c r="J6" s="69">
        <v>6</v>
      </c>
      <c r="K6" s="69">
        <v>2</v>
      </c>
      <c r="L6" s="69">
        <v>2</v>
      </c>
      <c r="M6" s="69">
        <v>0</v>
      </c>
      <c r="N6" s="69">
        <f t="shared" ref="N6:N10" si="0">SUM(H6:M6)</f>
      </c>
      <c r="O6" s="70">
        <f t="shared" ref="O6:O10" si="1">N6*2</f>
      </c>
    </row>
    <row r="7">
      <c r="A7" s="63">
        <v>15</v>
      </c>
      <c r="B7" s="64" t="s">
        <v>125</v>
      </c>
      <c r="C7" s="64"/>
      <c r="D7" s="65" t="s">
        <v>126</v>
      </c>
      <c r="E7" s="66" t="s">
        <v>127</v>
      </c>
      <c r="F7" s="67" t="s">
        <v>128</v>
      </c>
      <c r="G7" s="66" t="s">
        <v>124</v>
      </c>
      <c r="H7" s="68">
        <v>12</v>
      </c>
      <c r="I7" s="71">
        <v>5</v>
      </c>
      <c r="J7" s="69">
        <v>5</v>
      </c>
      <c r="K7" s="69">
        <v>2</v>
      </c>
      <c r="L7" s="69">
        <v>1</v>
      </c>
      <c r="M7" s="69">
        <v>5</v>
      </c>
      <c r="N7" s="69">
        <f t="shared" si="0"/>
      </c>
      <c r="O7" s="70">
        <f t="shared" si="1"/>
      </c>
    </row>
    <row r="8">
      <c r="A8" s="63">
        <v>16</v>
      </c>
      <c r="B8" s="64" t="s">
        <v>129</v>
      </c>
      <c r="C8" s="64"/>
      <c r="D8" s="65" t="s">
        <v>130</v>
      </c>
      <c r="E8" s="66" t="s">
        <v>131</v>
      </c>
      <c r="F8" s="67" t="s">
        <v>132</v>
      </c>
      <c r="G8" s="66" t="s">
        <v>133</v>
      </c>
      <c r="H8" s="68">
        <v>12</v>
      </c>
      <c r="I8" s="71">
        <v>5</v>
      </c>
      <c r="J8" s="69">
        <v>5</v>
      </c>
      <c r="K8" s="69">
        <v>2</v>
      </c>
      <c r="L8" s="69">
        <v>1</v>
      </c>
      <c r="M8" s="69">
        <v>5</v>
      </c>
      <c r="N8" s="69">
        <f t="shared" si="0"/>
      </c>
      <c r="O8" s="70">
        <f t="shared" si="1"/>
      </c>
    </row>
    <row r="9">
      <c r="A9" s="63">
        <v>17</v>
      </c>
      <c r="B9" s="64" t="s">
        <v>134</v>
      </c>
      <c r="C9" s="64"/>
      <c r="D9" s="65" t="s">
        <v>135</v>
      </c>
      <c r="E9" s="66" t="s">
        <v>136</v>
      </c>
      <c r="F9" s="67" t="s">
        <v>137</v>
      </c>
      <c r="G9" s="66" t="s">
        <v>133</v>
      </c>
      <c r="H9" s="68">
        <v>8</v>
      </c>
      <c r="I9" s="71">
        <v>5</v>
      </c>
      <c r="J9" s="69">
        <v>4</v>
      </c>
      <c r="K9" s="69">
        <v>1</v>
      </c>
      <c r="L9" s="69">
        <v>2</v>
      </c>
      <c r="M9" s="69">
        <v>0</v>
      </c>
      <c r="N9" s="69">
        <f t="shared" si="0"/>
      </c>
      <c r="O9" s="70">
        <f t="shared" si="1"/>
      </c>
    </row>
    <row r="10">
      <c r="A10" s="63">
        <v>18</v>
      </c>
      <c r="B10" s="64" t="s">
        <v>138</v>
      </c>
      <c r="C10" s="64"/>
      <c r="D10" s="72" t="s">
        <v>139</v>
      </c>
      <c r="E10" s="66" t="s">
        <v>140</v>
      </c>
      <c r="F10" s="66"/>
      <c r="G10" s="66" t="s">
        <v>133</v>
      </c>
      <c r="H10" s="68">
        <v>0</v>
      </c>
      <c r="I10" s="71">
        <v>18</v>
      </c>
      <c r="J10" s="69">
        <v>0</v>
      </c>
      <c r="K10" s="69">
        <v>0</v>
      </c>
      <c r="L10" s="69">
        <v>0</v>
      </c>
      <c r="M10" s="69">
        <v>0</v>
      </c>
      <c r="N10" s="69">
        <f t="shared" si="0"/>
      </c>
      <c r="O10" s="70">
        <f t="shared" si="1"/>
      </c>
    </row>
    <row r="11">
      <c r="A11" s="73" t="s">
        <v>141</v>
      </c>
      <c r="B11" s="73"/>
      <c r="C11" s="73"/>
      <c r="D11" s="73"/>
      <c r="E11" s="74" t="s">
        <v>142</v>
      </c>
      <c r="F11" s="74"/>
      <c r="G11" s="75"/>
      <c r="H11" s="75">
        <f>SUM(H6:H10)</f>
      </c>
      <c r="I11" s="76">
        <f>SUM(I6:I10)</f>
      </c>
      <c r="J11" s="76">
        <f>SUM(J6:J10)</f>
      </c>
      <c r="K11" s="76">
        <f>SUM(K6:K10)</f>
      </c>
      <c r="L11" s="76">
        <f>SUM(L6:L10)</f>
      </c>
      <c r="M11" s="76">
        <f>SUM(M6:M10)</f>
      </c>
      <c r="N11" s="76">
        <f>SUM(N6:N10)</f>
      </c>
      <c r="O11" s="76">
        <f>SUM(O6:O10)</f>
      </c>
    </row>
  </sheetData>
  <mergeCells>
    <mergeCell ref="A11:D11"/>
    <mergeCell ref="C6:C10"/>
    <mergeCell ref="E4:E5"/>
    <mergeCell ref="D4:D5"/>
    <mergeCell ref="C4:C5"/>
    <mergeCell ref="B4:B5"/>
    <mergeCell ref="A4:A5"/>
    <mergeCell ref="A3:D3"/>
    <mergeCell ref="A1:O1"/>
    <mergeCell ref="E3:O3"/>
    <mergeCell ref="A2:O2"/>
    <mergeCell ref="H4:H5"/>
    <mergeCell ref="I4:J4"/>
    <mergeCell ref="K4:K5"/>
    <mergeCell ref="L4:L5"/>
    <mergeCell ref="M4:M5"/>
    <mergeCell ref="N4:N5"/>
    <mergeCell ref="O4:O5"/>
    <mergeCell ref="G4:G5"/>
    <mergeCell ref="F4:F5"/>
  </mergeCells>
  <dataValidations count="1">
    <dataValidation allowBlank="true" errorStyle="stop" showErrorMessage="true" sqref="G6:G10" type="list">
      <formula1>"Thi thực hành,Project"</formula1>
    </dataValidation>
  </dataValidation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f258"/>
    <outlinePr summaryBelow="false" summaryRight="false"/>
  </sheetPr>
  <dimension ref="A1"/>
  <sheetViews>
    <sheetView showGridLines="true" workbookViewId="0">
      <pane state="frozen" topLeftCell="E1" xSplit="4"/>
    </sheetView>
  </sheetViews>
  <sheetFormatPr defaultColWidth="12" defaultRowHeight="18"/>
  <cols>
    <col collapsed="false" customWidth="true" hidden="false" max="7" min="7" style="0" width="20"/>
    <col collapsed="false" customWidth="true" hidden="false" max="11" min="11" style="0" width="20"/>
    <col collapsed="false" customWidth="true" hidden="false" max="15" min="15" style="0" width="19"/>
    <col collapsed="false" customWidth="true" hidden="false" max="3" min="3" style="0" width="10"/>
    <col collapsed="false" customWidth="true" hidden="false" max="8" min="8" style="0" width="20"/>
    <col collapsed="false" customWidth="true" hidden="false" max="12" min="12" style="0" width="20"/>
    <col collapsed="false" customWidth="true" hidden="false" max="4" min="4" style="0" width="44"/>
    <col collapsed="false" customWidth="true" hidden="false" max="5" min="5" style="0" width="48"/>
    <col collapsed="false" customWidth="true" hidden="false" max="9" min="9" style="0" width="20"/>
    <col collapsed="false" customWidth="true" hidden="false" max="13" min="13" style="0" width="22"/>
    <col collapsed="false" customWidth="true" hidden="false" max="1" min="1" style="0" width="8"/>
    <col collapsed="false" customWidth="true" hidden="false" max="6" min="6" style="0" width="48"/>
    <col collapsed="false" customWidth="true" hidden="false" max="10" min="10" style="0" width="20"/>
    <col collapsed="false" customWidth="true" hidden="false" max="14" min="14" style="0" width="20"/>
    <col collapsed="false" customWidth="true" hidden="false" max="2" min="2" style="0" width="13"/>
  </cols>
  <sheetData>
    <row r="1">
      <c r="A1" s="77" t="s">
        <v>143</v>
      </c>
      <c r="B1" s="77"/>
      <c r="C1" s="77"/>
      <c r="D1" s="77"/>
      <c r="E1" s="77"/>
      <c r="F1" s="77"/>
      <c r="G1" s="77"/>
      <c r="H1" s="77"/>
      <c r="I1" s="77"/>
      <c r="J1" s="77"/>
      <c r="K1" s="77"/>
      <c r="L1" s="77"/>
      <c r="M1" s="77"/>
      <c r="N1" s="77"/>
      <c r="O1" s="77"/>
    </row>
    <row customHeight="true" ht="22" r="2">
      <c r="A2" s="78"/>
      <c r="B2" s="78"/>
      <c r="C2" s="78"/>
      <c r="D2" s="78"/>
      <c r="E2" s="78"/>
      <c r="F2" s="78"/>
      <c r="G2" s="78"/>
      <c r="H2" s="78"/>
      <c r="I2" s="78"/>
      <c r="J2" s="78"/>
      <c r="K2" s="78"/>
      <c r="L2" s="78"/>
      <c r="M2" s="78"/>
      <c r="N2" s="78"/>
      <c r="O2" s="78"/>
    </row>
    <row r="3">
      <c r="A3" s="79" t="s">
        <v>144</v>
      </c>
      <c r="B3" s="79"/>
      <c r="C3" s="79"/>
      <c r="D3" s="79"/>
      <c r="E3" s="80" t="s">
        <v>145</v>
      </c>
      <c r="F3" s="80"/>
      <c r="G3" s="80"/>
      <c r="H3" s="80"/>
      <c r="I3" s="80"/>
      <c r="J3" s="80"/>
      <c r="K3" s="80"/>
      <c r="L3" s="80"/>
      <c r="M3" s="80"/>
      <c r="N3" s="80"/>
      <c r="O3" s="81"/>
    </row>
    <row r="4">
      <c r="A4" s="82" t="s">
        <v>146</v>
      </c>
      <c r="B4" s="83" t="s">
        <v>147</v>
      </c>
      <c r="C4" s="82" t="s">
        <v>148</v>
      </c>
      <c r="D4" s="82" t="s">
        <v>149</v>
      </c>
      <c r="E4" s="83" t="s">
        <v>150</v>
      </c>
      <c r="F4" s="83" t="s">
        <v>151</v>
      </c>
      <c r="G4" s="83" t="s">
        <v>152</v>
      </c>
      <c r="H4" s="82" t="s">
        <v>153</v>
      </c>
      <c r="I4" s="82" t="s">
        <v>154</v>
      </c>
      <c r="J4" s="82"/>
      <c r="K4" s="83" t="s">
        <v>155</v>
      </c>
      <c r="L4" s="83" t="s">
        <v>156</v>
      </c>
      <c r="M4" s="83" t="s">
        <v>157</v>
      </c>
      <c r="N4" s="84" t="s">
        <v>158</v>
      </c>
      <c r="O4" s="85" t="s">
        <v>159</v>
      </c>
    </row>
    <row r="5">
      <c r="A5" s="82"/>
      <c r="B5" s="83"/>
      <c r="C5" s="82"/>
      <c r="D5" s="82"/>
      <c r="E5" s="86"/>
      <c r="F5" s="83"/>
      <c r="G5" s="86"/>
      <c r="H5" s="82"/>
      <c r="I5" s="82" t="s">
        <v>160</v>
      </c>
      <c r="J5" s="82" t="s">
        <v>161</v>
      </c>
      <c r="K5" s="82"/>
      <c r="L5" s="82"/>
      <c r="M5" s="82"/>
      <c r="N5" s="87"/>
      <c r="O5" s="85"/>
    </row>
    <row r="6">
      <c r="A6" s="88">
        <v>19</v>
      </c>
      <c r="B6" s="89" t="s">
        <v>162</v>
      </c>
      <c r="C6" s="89" t="s">
        <v>163</v>
      </c>
      <c r="D6" s="90" t="s">
        <v>164</v>
      </c>
      <c r="E6" s="91" t="s">
        <v>165</v>
      </c>
      <c r="F6" s="92" t="s">
        <v>166</v>
      </c>
      <c r="G6" s="91" t="s">
        <v>167</v>
      </c>
      <c r="H6" s="93">
        <v>7</v>
      </c>
      <c r="I6" s="94">
        <v>5</v>
      </c>
      <c r="J6" s="94">
        <v>4</v>
      </c>
      <c r="K6" s="94">
        <v>2</v>
      </c>
      <c r="L6" s="94">
        <v>2</v>
      </c>
      <c r="M6" s="94">
        <v>0</v>
      </c>
      <c r="N6" s="94">
        <f t="shared" ref="N6:N10" si="0">SUM(H6:M6)</f>
      </c>
      <c r="O6" s="95">
        <f t="shared" ref="O6:O10" si="1">N6*2</f>
      </c>
    </row>
    <row r="7">
      <c r="A7" s="88">
        <v>20</v>
      </c>
      <c r="B7" s="89" t="s">
        <v>168</v>
      </c>
      <c r="C7" s="89"/>
      <c r="D7" s="90" t="s">
        <v>169</v>
      </c>
      <c r="E7" s="91" t="s">
        <v>170</v>
      </c>
      <c r="F7" s="92" t="s">
        <v>171</v>
      </c>
      <c r="G7" s="91" t="s">
        <v>172</v>
      </c>
      <c r="H7" s="93">
        <v>13</v>
      </c>
      <c r="I7" s="94">
        <v>7</v>
      </c>
      <c r="J7" s="94">
        <v>5</v>
      </c>
      <c r="K7" s="94">
        <v>3</v>
      </c>
      <c r="L7" s="94">
        <v>1</v>
      </c>
      <c r="M7" s="94">
        <v>5</v>
      </c>
      <c r="N7" s="94">
        <f t="shared" si="0"/>
      </c>
      <c r="O7" s="95">
        <f t="shared" si="1"/>
      </c>
    </row>
    <row r="8">
      <c r="A8" s="88">
        <v>21</v>
      </c>
      <c r="B8" s="89" t="s">
        <v>173</v>
      </c>
      <c r="C8" s="89"/>
      <c r="D8" s="90" t="s">
        <v>174</v>
      </c>
      <c r="E8" s="91" t="s">
        <v>175</v>
      </c>
      <c r="F8" s="92" t="s">
        <v>176</v>
      </c>
      <c r="G8" s="91" t="s">
        <v>172</v>
      </c>
      <c r="H8" s="93">
        <v>12</v>
      </c>
      <c r="I8" s="94">
        <v>7</v>
      </c>
      <c r="J8" s="94">
        <v>5</v>
      </c>
      <c r="K8" s="94">
        <v>3</v>
      </c>
      <c r="L8" s="94">
        <v>1</v>
      </c>
      <c r="M8" s="94">
        <v>5</v>
      </c>
      <c r="N8" s="94">
        <f t="shared" si="0"/>
      </c>
      <c r="O8" s="95">
        <f t="shared" si="1"/>
      </c>
    </row>
    <row r="9">
      <c r="A9" s="88">
        <v>22</v>
      </c>
      <c r="B9" s="89" t="s">
        <v>177</v>
      </c>
      <c r="C9" s="89"/>
      <c r="D9" s="90" t="s">
        <v>178</v>
      </c>
      <c r="E9" s="91" t="s">
        <v>179</v>
      </c>
      <c r="F9" s="92" t="s">
        <v>180</v>
      </c>
      <c r="G9" s="91" t="s">
        <v>167</v>
      </c>
      <c r="H9" s="93">
        <v>7</v>
      </c>
      <c r="I9" s="94">
        <v>5</v>
      </c>
      <c r="J9" s="94">
        <v>4</v>
      </c>
      <c r="K9" s="94">
        <v>2</v>
      </c>
      <c r="L9" s="94">
        <v>2</v>
      </c>
      <c r="M9" s="94">
        <v>0</v>
      </c>
      <c r="N9" s="94">
        <f t="shared" si="0"/>
      </c>
      <c r="O9" s="95">
        <f t="shared" si="1"/>
      </c>
    </row>
    <row r="10">
      <c r="A10" s="88">
        <v>23</v>
      </c>
      <c r="B10" s="89" t="s">
        <v>181</v>
      </c>
      <c r="C10" s="89"/>
      <c r="D10" s="96" t="s">
        <v>182</v>
      </c>
      <c r="E10" s="91" t="s">
        <v>183</v>
      </c>
      <c r="F10" s="91"/>
      <c r="G10" s="91" t="s">
        <v>172</v>
      </c>
      <c r="H10" s="93">
        <v>0</v>
      </c>
      <c r="I10" s="97">
        <v>18</v>
      </c>
      <c r="J10" s="94">
        <v>0</v>
      </c>
      <c r="K10" s="94">
        <v>0</v>
      </c>
      <c r="L10" s="94">
        <v>0</v>
      </c>
      <c r="M10" s="94">
        <v>0</v>
      </c>
      <c r="N10" s="94">
        <f t="shared" si="0"/>
      </c>
      <c r="O10" s="95">
        <f t="shared" si="1"/>
      </c>
    </row>
    <row r="11">
      <c r="A11" s="98" t="s">
        <v>184</v>
      </c>
      <c r="B11" s="98"/>
      <c r="C11" s="98"/>
      <c r="D11" s="98"/>
      <c r="E11" s="99" t="s">
        <v>185</v>
      </c>
      <c r="F11" s="99"/>
      <c r="G11" s="100"/>
      <c r="H11" s="100">
        <f>SUM(H6:H10)</f>
      </c>
      <c r="I11" s="101">
        <f>SUM(I6:I10)</f>
      </c>
      <c r="J11" s="101">
        <f>SUM(J6:J10)</f>
      </c>
      <c r="K11" s="101">
        <f>SUM(K6:K10)</f>
      </c>
      <c r="L11" s="101">
        <f>SUM(L6:L10)</f>
      </c>
      <c r="M11" s="101">
        <f>SUM(M6:M10)</f>
      </c>
      <c r="N11" s="101">
        <f>SUM(N6:N10)</f>
      </c>
      <c r="O11" s="101">
        <f>SUM(O6:O10)</f>
      </c>
    </row>
  </sheetData>
  <mergeCells>
    <mergeCell ref="A4:A5"/>
    <mergeCell ref="B4:B5"/>
    <mergeCell ref="C4:C5"/>
    <mergeCell ref="D4:D5"/>
    <mergeCell ref="E4:E5"/>
    <mergeCell ref="C6:C10"/>
    <mergeCell ref="A11:D11"/>
    <mergeCell ref="A3:D3"/>
    <mergeCell ref="A1:O1"/>
    <mergeCell ref="G4:G5"/>
    <mergeCell ref="O4:O5"/>
    <mergeCell ref="N4:N5"/>
    <mergeCell ref="M4:M5"/>
    <mergeCell ref="L4:L5"/>
    <mergeCell ref="K4:K5"/>
    <mergeCell ref="I4:J4"/>
    <mergeCell ref="H4:H5"/>
    <mergeCell ref="A2:O2"/>
    <mergeCell ref="E3:O3"/>
    <mergeCell ref="F4:F5"/>
  </mergeCells>
  <dataValidations count="1">
    <dataValidation allowBlank="true" errorStyle="stop" showErrorMessage="true" sqref="G6:G10" type="list">
      <formula1>"Thi thực hành,Project"</formula1>
    </dataValidation>
  </dataValidation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54a45"/>
    <outlinePr summaryBelow="false" summaryRight="false"/>
  </sheetPr>
  <dimension ref="A1"/>
  <sheetViews>
    <sheetView showGridLines="true" workbookViewId="0">
      <pane state="frozen" topLeftCell="E1" xSplit="4"/>
    </sheetView>
  </sheetViews>
  <sheetFormatPr defaultColWidth="12" defaultRowHeight="18"/>
  <cols>
    <col collapsed="false" customWidth="true" hidden="false" max="5" min="5" style="0" width="48"/>
    <col collapsed="false" customWidth="true" hidden="false" max="9" min="9" style="0" width="20"/>
    <col collapsed="false" customWidth="true" hidden="false" max="13" min="13" style="0" width="22"/>
    <col collapsed="false" customWidth="true" hidden="false" max="1" min="1" style="0" width="8"/>
    <col collapsed="false" customWidth="true" hidden="false" max="6" min="6" style="0" width="48"/>
    <col collapsed="false" customWidth="true" hidden="false" max="10" min="10" style="0" width="20"/>
    <col collapsed="false" customWidth="true" hidden="false" max="14" min="14" style="0" width="20"/>
    <col collapsed="false" customWidth="true" hidden="false" max="2" min="2" style="0" width="13"/>
    <col collapsed="false" customWidth="true" hidden="false" max="7" min="7" style="0" width="20"/>
    <col collapsed="false" customWidth="true" hidden="false" max="11" min="11" style="0" width="20"/>
    <col collapsed="false" customWidth="true" hidden="false" max="15" min="15" style="0" width="19"/>
    <col collapsed="false" customWidth="true" hidden="false" max="3" min="3" style="0" width="10"/>
    <col collapsed="false" customWidth="true" hidden="false" max="8" min="8" style="0" width="20"/>
    <col collapsed="false" customWidth="true" hidden="false" max="12" min="12" style="0" width="20"/>
    <col collapsed="false" customWidth="true" hidden="false" max="4" min="4" style="0" width="45"/>
  </cols>
  <sheetData>
    <row r="1">
      <c r="A1" s="102" t="s">
        <v>186</v>
      </c>
      <c r="B1" s="102"/>
      <c r="C1" s="102"/>
      <c r="D1" s="102"/>
      <c r="E1" s="102"/>
      <c r="F1" s="102"/>
      <c r="G1" s="102"/>
      <c r="H1" s="102"/>
      <c r="I1" s="102"/>
      <c r="J1" s="102"/>
      <c r="K1" s="102"/>
      <c r="L1" s="102"/>
      <c r="M1" s="102"/>
      <c r="N1" s="102"/>
      <c r="O1" s="102"/>
    </row>
    <row customHeight="true" ht="22" r="2">
      <c r="A2" s="103"/>
      <c r="B2" s="103"/>
      <c r="C2" s="103"/>
      <c r="D2" s="103"/>
      <c r="E2" s="103"/>
      <c r="F2" s="103"/>
      <c r="G2" s="103"/>
      <c r="H2" s="103"/>
      <c r="I2" s="103"/>
      <c r="J2" s="103"/>
      <c r="K2" s="103"/>
      <c r="L2" s="103"/>
      <c r="M2" s="103"/>
      <c r="N2" s="103"/>
      <c r="O2" s="103"/>
    </row>
    <row r="3">
      <c r="A3" s="104" t="s">
        <v>187</v>
      </c>
      <c r="B3" s="104"/>
      <c r="C3" s="104"/>
      <c r="D3" s="104"/>
      <c r="E3" s="105" t="s">
        <v>188</v>
      </c>
      <c r="F3" s="105"/>
      <c r="G3" s="106"/>
      <c r="H3" s="106"/>
      <c r="I3" s="106"/>
      <c r="J3" s="106"/>
      <c r="K3" s="106"/>
      <c r="L3" s="106"/>
      <c r="M3" s="106"/>
      <c r="N3" s="106"/>
      <c r="O3" s="106"/>
    </row>
    <row r="4">
      <c r="A4" s="107" t="s">
        <v>189</v>
      </c>
      <c r="B4" s="108" t="s">
        <v>190</v>
      </c>
      <c r="C4" s="107" t="s">
        <v>191</v>
      </c>
      <c r="D4" s="107" t="s">
        <v>192</v>
      </c>
      <c r="E4" s="108" t="s">
        <v>193</v>
      </c>
      <c r="F4" s="108" t="s">
        <v>194</v>
      </c>
      <c r="G4" s="108" t="s">
        <v>195</v>
      </c>
      <c r="H4" s="107" t="s">
        <v>196</v>
      </c>
      <c r="I4" s="107" t="s">
        <v>197</v>
      </c>
      <c r="J4" s="107"/>
      <c r="K4" s="108" t="s">
        <v>198</v>
      </c>
      <c r="L4" s="108" t="s">
        <v>199</v>
      </c>
      <c r="M4" s="108" t="s">
        <v>200</v>
      </c>
      <c r="N4" s="109" t="s">
        <v>201</v>
      </c>
      <c r="O4" s="110" t="s">
        <v>202</v>
      </c>
    </row>
    <row r="5">
      <c r="A5" s="107"/>
      <c r="B5" s="108"/>
      <c r="C5" s="107"/>
      <c r="D5" s="107"/>
      <c r="E5" s="108"/>
      <c r="F5" s="108"/>
      <c r="G5" s="108"/>
      <c r="H5" s="107"/>
      <c r="I5" s="107" t="s">
        <v>203</v>
      </c>
      <c r="J5" s="107" t="s">
        <v>204</v>
      </c>
      <c r="K5" s="107"/>
      <c r="L5" s="107"/>
      <c r="M5" s="107"/>
      <c r="N5" s="110"/>
      <c r="O5" s="110"/>
    </row>
    <row r="6">
      <c r="A6" s="111">
        <v>24</v>
      </c>
      <c r="B6" s="112" t="s">
        <v>205</v>
      </c>
      <c r="C6" s="112" t="s">
        <v>206</v>
      </c>
      <c r="D6" s="113" t="s">
        <v>207</v>
      </c>
      <c r="E6" s="113" t="s">
        <v>208</v>
      </c>
      <c r="F6" s="114" t="s">
        <v>209</v>
      </c>
      <c r="G6" s="115" t="s">
        <v>210</v>
      </c>
      <c r="H6" s="116">
        <v>11</v>
      </c>
      <c r="I6" s="116">
        <v>7</v>
      </c>
      <c r="J6" s="116">
        <v>7</v>
      </c>
      <c r="K6" s="116">
        <v>3</v>
      </c>
      <c r="L6" s="116">
        <v>1</v>
      </c>
      <c r="M6" s="116">
        <v>6</v>
      </c>
      <c r="N6" s="116">
        <f t="shared" ref="N6:N8" si="1">SUM(H6:M6)</f>
      </c>
      <c r="O6" s="116">
        <f t="shared" ref="O6:O8" si="0">N6*2</f>
      </c>
    </row>
    <row r="7">
      <c r="A7" s="111">
        <v>25</v>
      </c>
      <c r="B7" s="112" t="s">
        <v>211</v>
      </c>
      <c r="C7" s="112"/>
      <c r="D7" s="113" t="s">
        <v>212</v>
      </c>
      <c r="E7" s="113" t="s">
        <v>213</v>
      </c>
      <c r="F7" s="114" t="s">
        <v>214</v>
      </c>
      <c r="G7" s="115" t="s">
        <v>210</v>
      </c>
      <c r="H7" s="116">
        <v>7</v>
      </c>
      <c r="I7" s="116">
        <v>3</v>
      </c>
      <c r="J7" s="116">
        <v>3</v>
      </c>
      <c r="K7" s="116">
        <v>2</v>
      </c>
      <c r="L7" s="116">
        <v>1</v>
      </c>
      <c r="M7" s="116">
        <v>4</v>
      </c>
      <c r="N7" s="116">
        <f t="shared" si="1"/>
      </c>
      <c r="O7" s="116">
        <f t="shared" si="0"/>
      </c>
    </row>
    <row r="8">
      <c r="A8" s="111">
        <v>26</v>
      </c>
      <c r="B8" s="112" t="s">
        <v>215</v>
      </c>
      <c r="C8" s="112"/>
      <c r="D8" s="113" t="s">
        <v>216</v>
      </c>
      <c r="E8" s="113" t="s">
        <v>217</v>
      </c>
      <c r="F8" s="113"/>
      <c r="G8" s="115" t="s">
        <v>210</v>
      </c>
      <c r="H8" s="116">
        <v>0</v>
      </c>
      <c r="I8" s="116">
        <v>19</v>
      </c>
      <c r="J8" s="116">
        <v>0</v>
      </c>
      <c r="K8" s="116">
        <v>0</v>
      </c>
      <c r="L8" s="116">
        <v>0</v>
      </c>
      <c r="M8" s="116">
        <v>0</v>
      </c>
      <c r="N8" s="116">
        <f t="shared" si="1"/>
      </c>
      <c r="O8" s="116">
        <f t="shared" si="0"/>
      </c>
    </row>
    <row r="9">
      <c r="A9" s="117" t="s">
        <v>218</v>
      </c>
      <c r="B9" s="117"/>
      <c r="C9" s="117"/>
      <c r="D9" s="117"/>
      <c r="E9" s="118" t="s">
        <v>219</v>
      </c>
      <c r="F9" s="118"/>
      <c r="G9" s="119"/>
      <c r="H9" s="119">
        <f>SUM(H6:H8)</f>
      </c>
      <c r="I9" s="119">
        <f>SUM(I6:I8)</f>
      </c>
      <c r="J9" s="119">
        <f>SUM(J6:J8)</f>
      </c>
      <c r="K9" s="119">
        <f>SUM(K6:K8)</f>
      </c>
      <c r="L9" s="119">
        <f>SUM(L6:L8)</f>
      </c>
      <c r="M9" s="119">
        <f>SUM(M6:M8)</f>
      </c>
      <c r="N9" s="119">
        <f>SUM(N6:N8)</f>
      </c>
      <c r="O9" s="119">
        <f>SUM(O6:O8)</f>
      </c>
    </row>
  </sheetData>
  <mergeCells>
    <mergeCell ref="A3:D3"/>
    <mergeCell ref="A4:A5"/>
    <mergeCell ref="B4:B5"/>
    <mergeCell ref="C4:C5"/>
    <mergeCell ref="D4:D5"/>
    <mergeCell ref="E4:E5"/>
    <mergeCell ref="C6:C8"/>
    <mergeCell ref="A9:D9"/>
    <mergeCell ref="A1:O1"/>
    <mergeCell ref="G4:G5"/>
    <mergeCell ref="O4:O5"/>
    <mergeCell ref="N4:N5"/>
    <mergeCell ref="M4:M5"/>
    <mergeCell ref="L4:L5"/>
    <mergeCell ref="K4:K5"/>
    <mergeCell ref="I4:J4"/>
    <mergeCell ref="H4:H5"/>
    <mergeCell ref="A2:O2"/>
    <mergeCell ref="E3:O3"/>
    <mergeCell ref="F4:F5"/>
  </mergeCells>
  <dataValidations count="1">
    <dataValidation allowBlank="true" errorStyle="stop" showErrorMessage="true" sqref="G6:G8" type="list">
      <formula1>"Thi thực hành,Project"</formula1>
    </dataValidation>
  </dataValidation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4e83fd"/>
    <outlinePr summaryBelow="false" summaryRight="false"/>
  </sheetPr>
  <dimension ref="A1"/>
  <sheetViews>
    <sheetView showGridLines="true" workbookViewId="0"/>
  </sheetViews>
  <sheetFormatPr defaultColWidth="12" defaultRowHeight="18"/>
  <cols>
    <col collapsed="false" customWidth="true" hidden="false" max="1" min="1" style="0" width="11"/>
    <col collapsed="false" customWidth="true" hidden="false" max="3" min="3" style="0" width="10"/>
    <col collapsed="false" customWidth="true" hidden="false" max="5" min="5" style="0" width="48"/>
    <col collapsed="false" customWidth="true" hidden="false" max="7" min="7" style="0" width="97"/>
    <col collapsed="false" customWidth="true" hidden="false" max="2" min="2" style="0" width="8"/>
    <col collapsed="false" customWidth="true" hidden="false" max="4" min="4" style="0" width="12"/>
    <col collapsed="false" customWidth="true" hidden="false" max="6" min="6" style="0" width="14"/>
    <col collapsed="false" customWidth="true" hidden="false" max="8" min="8" style="0" width="28"/>
  </cols>
  <sheetData>
    <row r="1">
      <c r="A1" s="120" t="s">
        <v>220</v>
      </c>
      <c r="B1" s="121"/>
      <c r="C1" s="121"/>
      <c r="D1" s="121"/>
      <c r="E1" s="121"/>
      <c r="F1" s="121"/>
      <c r="G1" s="121"/>
      <c r="H1" s="121"/>
    </row>
    <row r="2">
      <c r="A2" s="122"/>
      <c r="B2" s="122"/>
      <c r="C2" s="122"/>
      <c r="D2" s="123"/>
      <c r="E2" s="123"/>
      <c r="F2" s="123"/>
      <c r="G2" s="123"/>
      <c r="H2" s="123"/>
    </row>
    <row r="3">
      <c r="A3" s="124" t="s">
        <v>221</v>
      </c>
      <c r="B3" s="125" t="s">
        <v>222</v>
      </c>
      <c r="C3" s="125"/>
      <c r="D3" s="124" t="s">
        <v>223</v>
      </c>
      <c r="E3" s="125" t="s">
        <v>224</v>
      </c>
      <c r="F3" s="125" t="s">
        <v>225</v>
      </c>
      <c r="G3" s="126" t="s">
        <v>226</v>
      </c>
      <c r="H3" s="127" t="s">
        <v>227</v>
      </c>
    </row>
    <row r="4">
      <c r="A4" s="128">
        <v>1</v>
      </c>
      <c r="B4" s="129" t="s">
        <v>228</v>
      </c>
      <c r="C4" s="129"/>
      <c r="D4" s="130"/>
      <c r="E4" s="131" t="s">
        <v>229</v>
      </c>
      <c r="F4" s="132">
        <v>1</v>
      </c>
      <c r="G4" s="133" t="s">
        <v>230</v>
      </c>
      <c r="H4" s="134"/>
    </row>
    <row r="5">
      <c r="A5" s="128"/>
      <c r="B5" s="129"/>
      <c r="C5" s="129"/>
      <c r="D5" s="130"/>
      <c r="E5" s="131"/>
      <c r="F5" s="132">
        <v>2</v>
      </c>
      <c r="G5" s="133" t="s">
        <v>231</v>
      </c>
      <c r="H5" s="134"/>
    </row>
    <row r="6">
      <c r="A6" s="128"/>
      <c r="B6" s="129"/>
      <c r="C6" s="129"/>
      <c r="D6" s="130"/>
      <c r="E6" s="131"/>
      <c r="F6" s="132">
        <v>3</v>
      </c>
      <c r="G6" s="135" t="s">
        <v>232</v>
      </c>
      <c r="H6" s="134"/>
    </row>
    <row r="7">
      <c r="A7" s="128"/>
      <c r="B7" s="129"/>
      <c r="C7" s="129"/>
      <c r="D7" s="130"/>
      <c r="E7" s="131"/>
      <c r="F7" s="132">
        <v>4</v>
      </c>
      <c r="G7" s="133" t="s">
        <v>233</v>
      </c>
      <c r="H7" s="134"/>
    </row>
    <row r="8">
      <c r="A8" s="128"/>
      <c r="B8" s="129"/>
      <c r="C8" s="129"/>
      <c r="D8" s="130"/>
      <c r="E8" s="131"/>
      <c r="F8" s="132">
        <v>5</v>
      </c>
      <c r="G8" s="136" t="s">
        <v>234</v>
      </c>
      <c r="H8" s="134"/>
    </row>
    <row r="9">
      <c r="A9" s="128"/>
      <c r="B9" s="129"/>
      <c r="C9" s="129"/>
      <c r="D9" s="130"/>
      <c r="E9" s="131"/>
      <c r="F9" s="132">
        <v>6</v>
      </c>
      <c r="G9" s="136" t="s">
        <v>235</v>
      </c>
      <c r="H9" s="134"/>
    </row>
    <row r="10">
      <c r="A10" s="128"/>
      <c r="B10" s="129"/>
      <c r="C10" s="129"/>
      <c r="D10" s="130"/>
      <c r="E10" s="131"/>
      <c r="F10" s="132">
        <v>7</v>
      </c>
      <c r="G10" s="133" t="s">
        <v>236</v>
      </c>
      <c r="H10" s="134"/>
    </row>
    <row r="11">
      <c r="A11" s="137">
        <v>2</v>
      </c>
      <c r="B11" s="138" t="s">
        <v>228</v>
      </c>
      <c r="C11" s="138"/>
      <c r="D11" s="139"/>
      <c r="E11" s="140" t="s">
        <v>237</v>
      </c>
      <c r="F11" s="132">
        <v>1</v>
      </c>
      <c r="G11" s="141" t="s">
        <v>238</v>
      </c>
      <c r="H11" s="134"/>
    </row>
    <row r="12">
      <c r="A12" s="142"/>
      <c r="B12" s="138"/>
      <c r="C12" s="138"/>
      <c r="D12" s="139"/>
      <c r="E12" s="140"/>
      <c r="F12" s="132">
        <v>2</v>
      </c>
      <c r="G12" s="140" t="s">
        <v>239</v>
      </c>
      <c r="H12" s="134"/>
    </row>
    <row r="13">
      <c r="A13" s="142"/>
      <c r="B13" s="138"/>
      <c r="C13" s="138"/>
      <c r="D13" s="139"/>
      <c r="E13" s="140"/>
      <c r="F13" s="132">
        <v>3</v>
      </c>
      <c r="G13" s="140" t="s">
        <v>240</v>
      </c>
      <c r="H13" s="134"/>
    </row>
    <row r="14">
      <c r="A14" s="142"/>
      <c r="B14" s="138"/>
      <c r="C14" s="138"/>
      <c r="D14" s="139"/>
      <c r="E14" s="140"/>
      <c r="F14" s="132">
        <v>4</v>
      </c>
      <c r="G14" s="141" t="s">
        <v>241</v>
      </c>
      <c r="H14" s="134"/>
    </row>
    <row r="15">
      <c r="A15" s="142"/>
      <c r="B15" s="138"/>
      <c r="C15" s="138"/>
      <c r="D15" s="139"/>
      <c r="E15" s="140"/>
      <c r="F15" s="132">
        <v>5</v>
      </c>
      <c r="G15" s="141" t="s">
        <v>242</v>
      </c>
      <c r="H15" s="134"/>
    </row>
    <row r="16">
      <c r="A16" s="142"/>
      <c r="B16" s="138"/>
      <c r="C16" s="138"/>
      <c r="D16" s="139"/>
      <c r="E16" s="140"/>
      <c r="F16" s="132">
        <v>6</v>
      </c>
      <c r="G16" s="140" t="s">
        <v>243</v>
      </c>
      <c r="H16" s="134"/>
    </row>
    <row customHeight="true" ht="22" r="17">
      <c r="A17" s="143">
        <v>3</v>
      </c>
      <c r="B17" s="144" t="s">
        <v>244</v>
      </c>
      <c r="C17" s="144"/>
      <c r="D17" s="145"/>
      <c r="E17" s="146" t="s">
        <v>245</v>
      </c>
      <c r="F17" s="147"/>
      <c r="G17" s="147"/>
      <c r="H17" s="148"/>
    </row>
    <row r="18">
      <c r="A18" s="132">
        <v>4</v>
      </c>
      <c r="B18" s="142" t="s">
        <v>228</v>
      </c>
      <c r="C18" s="142"/>
      <c r="D18" s="139"/>
      <c r="E18" s="140" t="s">
        <v>246</v>
      </c>
      <c r="F18" s="132">
        <v>1</v>
      </c>
      <c r="G18" s="141" t="s">
        <v>247</v>
      </c>
      <c r="H18" s="134"/>
    </row>
    <row r="19">
      <c r="A19" s="132"/>
      <c r="B19" s="142"/>
      <c r="C19" s="142"/>
      <c r="D19" s="139"/>
      <c r="E19" s="140"/>
      <c r="F19" s="132">
        <v>2</v>
      </c>
      <c r="G19" s="141" t="s">
        <v>248</v>
      </c>
      <c r="H19" s="134"/>
    </row>
    <row r="20">
      <c r="A20" s="132"/>
      <c r="B20" s="142"/>
      <c r="C20" s="142"/>
      <c r="D20" s="139"/>
      <c r="E20" s="140"/>
      <c r="F20" s="132">
        <v>3</v>
      </c>
      <c r="G20" s="140" t="s">
        <v>249</v>
      </c>
      <c r="H20" s="134"/>
    </row>
    <row customHeight="true" ht="22" r="21">
      <c r="A21" s="132"/>
      <c r="B21" s="142"/>
      <c r="C21" s="142"/>
      <c r="D21" s="139"/>
      <c r="E21" s="140"/>
      <c r="F21" s="132">
        <v>4</v>
      </c>
      <c r="G21" s="141" t="s">
        <v>250</v>
      </c>
      <c r="H21" s="134"/>
    </row>
    <row r="22">
      <c r="A22" s="149">
        <v>5</v>
      </c>
      <c r="B22" s="144" t="s">
        <v>244</v>
      </c>
      <c r="C22" s="144"/>
      <c r="D22" s="145"/>
      <c r="E22" s="146" t="s">
        <v>251</v>
      </c>
      <c r="F22" s="147"/>
      <c r="G22" s="147"/>
      <c r="H22" s="148"/>
    </row>
    <row r="23">
      <c r="A23" s="150">
        <v>6</v>
      </c>
      <c r="B23" s="138" t="s">
        <v>228</v>
      </c>
      <c r="C23" s="138"/>
      <c r="D23" s="139"/>
      <c r="E23" s="140" t="s">
        <v>252</v>
      </c>
      <c r="F23" s="132">
        <v>1</v>
      </c>
      <c r="G23" s="141" t="s">
        <v>253</v>
      </c>
      <c r="H23" s="134"/>
    </row>
    <row r="24">
      <c r="A24" s="150"/>
      <c r="B24" s="138"/>
      <c r="C24" s="138"/>
      <c r="D24" s="139"/>
      <c r="E24" s="140"/>
      <c r="F24" s="132">
        <v>2</v>
      </c>
      <c r="G24" s="141" t="s">
        <v>254</v>
      </c>
      <c r="H24" s="134"/>
    </row>
    <row customHeight="true" ht="22" r="25">
      <c r="A25" s="150"/>
      <c r="B25" s="138"/>
      <c r="C25" s="138"/>
      <c r="D25" s="139"/>
      <c r="E25" s="140"/>
      <c r="F25" s="132">
        <v>3</v>
      </c>
      <c r="G25" s="141" t="s">
        <v>255</v>
      </c>
      <c r="H25" s="134"/>
    </row>
    <row r="26">
      <c r="A26" s="150"/>
      <c r="B26" s="138"/>
      <c r="C26" s="138"/>
      <c r="D26" s="139"/>
      <c r="E26" s="140"/>
      <c r="F26" s="132">
        <v>4</v>
      </c>
      <c r="G26" s="141" t="s">
        <v>256</v>
      </c>
      <c r="H26" s="134"/>
    </row>
    <row customHeight="true" ht="22" r="27">
      <c r="A27" s="150"/>
      <c r="B27" s="138"/>
      <c r="C27" s="138"/>
      <c r="D27" s="139"/>
      <c r="E27" s="140"/>
      <c r="F27" s="132">
        <v>5</v>
      </c>
      <c r="G27" s="141" t="s">
        <v>257</v>
      </c>
      <c r="H27" s="134"/>
    </row>
    <row r="28">
      <c r="A28" s="151">
        <v>7</v>
      </c>
      <c r="B28" s="144" t="s">
        <v>244</v>
      </c>
      <c r="C28" s="144"/>
      <c r="D28" s="145"/>
      <c r="E28" s="146" t="s">
        <v>258</v>
      </c>
      <c r="F28" s="147"/>
      <c r="G28" s="147"/>
      <c r="H28" s="148"/>
    </row>
    <row r="29">
      <c r="A29" s="150">
        <v>8</v>
      </c>
      <c r="B29" s="138" t="s">
        <v>228</v>
      </c>
      <c r="C29" s="138"/>
      <c r="D29" s="139"/>
      <c r="E29" s="140" t="s">
        <v>259</v>
      </c>
      <c r="F29" s="132">
        <v>1</v>
      </c>
      <c r="G29" s="141" t="s">
        <v>260</v>
      </c>
      <c r="H29" s="134"/>
    </row>
    <row r="30">
      <c r="A30" s="150"/>
      <c r="B30" s="138"/>
      <c r="C30" s="138"/>
      <c r="D30" s="139"/>
      <c r="E30" s="140"/>
      <c r="F30" s="132">
        <v>2</v>
      </c>
      <c r="G30" s="141" t="s">
        <v>261</v>
      </c>
      <c r="H30" s="134"/>
    </row>
    <row r="31">
      <c r="A31" s="150"/>
      <c r="B31" s="138"/>
      <c r="C31" s="138"/>
      <c r="D31" s="139"/>
      <c r="E31" s="140"/>
      <c r="F31" s="132">
        <v>3</v>
      </c>
      <c r="G31" s="141" t="s">
        <v>262</v>
      </c>
      <c r="H31" s="134"/>
    </row>
    <row customHeight="true" ht="22" r="32">
      <c r="A32" s="150"/>
      <c r="B32" s="138"/>
      <c r="C32" s="138"/>
      <c r="D32" s="139"/>
      <c r="E32" s="140"/>
      <c r="F32" s="132">
        <v>4</v>
      </c>
      <c r="G32" s="141" t="s">
        <v>263</v>
      </c>
      <c r="H32" s="134"/>
    </row>
    <row r="33">
      <c r="A33" s="151">
        <v>9</v>
      </c>
      <c r="B33" s="144" t="s">
        <v>244</v>
      </c>
      <c r="C33" s="144"/>
      <c r="D33" s="145"/>
      <c r="E33" s="146" t="s">
        <v>264</v>
      </c>
      <c r="F33" s="147"/>
      <c r="G33" s="147"/>
      <c r="H33" s="148"/>
    </row>
    <row r="34">
      <c r="A34" s="150">
        <v>10</v>
      </c>
      <c r="B34" s="138" t="s">
        <v>228</v>
      </c>
      <c r="C34" s="138"/>
      <c r="D34" s="139"/>
      <c r="E34" s="141" t="s">
        <v>265</v>
      </c>
      <c r="F34" s="132">
        <v>1</v>
      </c>
      <c r="G34" s="140" t="s">
        <v>266</v>
      </c>
      <c r="H34" s="152"/>
    </row>
    <row r="35">
      <c r="A35" s="153"/>
      <c r="B35" s="138"/>
      <c r="C35" s="138"/>
      <c r="D35" s="139"/>
      <c r="E35" s="140"/>
      <c r="F35" s="132">
        <v>2</v>
      </c>
      <c r="G35" s="141" t="s">
        <v>267</v>
      </c>
      <c r="H35" s="152"/>
    </row>
    <row customHeight="true" ht="40" r="36">
      <c r="A36" s="153"/>
      <c r="B36" s="138"/>
      <c r="C36" s="138"/>
      <c r="D36" s="139"/>
      <c r="E36" s="140"/>
      <c r="F36" s="132">
        <v>3</v>
      </c>
      <c r="G36" s="141" t="s">
        <v>268</v>
      </c>
      <c r="H36" s="152"/>
    </row>
    <row r="37">
      <c r="A37" s="153"/>
      <c r="B37" s="138"/>
      <c r="C37" s="138"/>
      <c r="D37" s="139"/>
      <c r="E37" s="140"/>
      <c r="F37" s="132">
        <v>4</v>
      </c>
      <c r="G37" s="141" t="s">
        <v>269</v>
      </c>
      <c r="H37" s="152"/>
    </row>
    <row r="38">
      <c r="A38" s="151">
        <v>11</v>
      </c>
      <c r="B38" s="144" t="s">
        <v>244</v>
      </c>
      <c r="C38" s="144"/>
      <c r="D38" s="145"/>
      <c r="E38" s="146" t="s">
        <v>270</v>
      </c>
      <c r="F38" s="147"/>
      <c r="G38" s="147"/>
      <c r="H38" s="148"/>
    </row>
    <row customHeight="true" ht="22" r="39">
      <c r="A39" s="154">
        <v>12</v>
      </c>
      <c r="B39" s="155" t="s">
        <v>271</v>
      </c>
      <c r="C39" s="155"/>
      <c r="D39" s="156"/>
      <c r="E39" s="157" t="s">
        <v>272</v>
      </c>
      <c r="F39" s="157"/>
      <c r="G39" s="157"/>
      <c r="H39" s="158"/>
    </row>
    <row r="40">
      <c r="A40" s="159">
        <v>13</v>
      </c>
      <c r="B40" s="160" t="s">
        <v>273</v>
      </c>
      <c r="C40" s="160"/>
      <c r="D40" s="161"/>
      <c r="E40" s="162" t="s">
        <v>274</v>
      </c>
      <c r="F40" s="163"/>
      <c r="G40" s="163"/>
      <c r="H40" s="164"/>
    </row>
    <row r="41">
      <c r="A41" s="150">
        <v>14</v>
      </c>
      <c r="B41" s="138" t="s">
        <v>228</v>
      </c>
      <c r="C41" s="138"/>
      <c r="D41" s="139"/>
      <c r="E41" s="140" t="s">
        <v>275</v>
      </c>
      <c r="F41" s="132">
        <v>1</v>
      </c>
      <c r="G41" s="140" t="s">
        <v>276</v>
      </c>
      <c r="H41" s="152"/>
    </row>
    <row r="42">
      <c r="A42" s="153"/>
      <c r="B42" s="138"/>
      <c r="C42" s="138"/>
      <c r="D42" s="139"/>
      <c r="E42" s="140"/>
      <c r="F42" s="132">
        <v>2</v>
      </c>
      <c r="G42" s="140" t="s">
        <v>277</v>
      </c>
      <c r="H42" s="152"/>
    </row>
    <row r="43">
      <c r="A43" s="153"/>
      <c r="B43" s="138"/>
      <c r="C43" s="138"/>
      <c r="D43" s="139"/>
      <c r="E43" s="140"/>
      <c r="F43" s="132">
        <v>3</v>
      </c>
      <c r="G43" s="140" t="s">
        <v>278</v>
      </c>
      <c r="H43" s="152"/>
    </row>
    <row r="44">
      <c r="A44" s="151">
        <v>15</v>
      </c>
      <c r="B44" s="144" t="s">
        <v>244</v>
      </c>
      <c r="C44" s="144"/>
      <c r="D44" s="145"/>
      <c r="E44" s="147" t="s">
        <v>279</v>
      </c>
      <c r="F44" s="147"/>
      <c r="G44" s="147"/>
      <c r="H44" s="148"/>
    </row>
    <row r="45">
      <c r="A45" s="137">
        <v>16</v>
      </c>
      <c r="B45" s="138" t="s">
        <v>228</v>
      </c>
      <c r="C45" s="138"/>
      <c r="D45" s="139"/>
      <c r="E45" s="141" t="s">
        <v>280</v>
      </c>
      <c r="F45" s="132">
        <v>1</v>
      </c>
      <c r="G45" s="140" t="s">
        <v>281</v>
      </c>
      <c r="H45" s="152"/>
    </row>
    <row r="46">
      <c r="A46" s="142"/>
      <c r="B46" s="138"/>
      <c r="C46" s="138"/>
      <c r="D46" s="139"/>
      <c r="E46" s="141"/>
      <c r="F46" s="132">
        <v>2</v>
      </c>
      <c r="G46" s="140" t="s">
        <v>282</v>
      </c>
      <c r="H46" s="152"/>
    </row>
    <row r="47">
      <c r="A47" s="142"/>
      <c r="B47" s="138"/>
      <c r="C47" s="138"/>
      <c r="D47" s="139"/>
      <c r="E47" s="141"/>
      <c r="F47" s="132">
        <v>3</v>
      </c>
      <c r="G47" s="140" t="s">
        <v>283</v>
      </c>
      <c r="H47" s="134"/>
    </row>
    <row r="48">
      <c r="A48" s="142"/>
      <c r="B48" s="138"/>
      <c r="C48" s="138"/>
      <c r="D48" s="139"/>
      <c r="E48" s="141"/>
      <c r="F48" s="132">
        <v>4</v>
      </c>
      <c r="G48" s="140" t="s">
        <v>284</v>
      </c>
      <c r="H48" s="134"/>
    </row>
    <row r="49">
      <c r="A49" s="142"/>
      <c r="B49" s="138"/>
      <c r="C49" s="138"/>
      <c r="D49" s="139"/>
      <c r="E49" s="141"/>
      <c r="F49" s="132">
        <v>5</v>
      </c>
      <c r="G49" s="140" t="s">
        <v>285</v>
      </c>
      <c r="H49" s="134"/>
    </row>
    <row r="50">
      <c r="A50" s="142"/>
      <c r="B50" s="138"/>
      <c r="C50" s="138"/>
      <c r="D50" s="139"/>
      <c r="E50" s="141"/>
      <c r="F50" s="132">
        <v>6</v>
      </c>
      <c r="G50" s="140" t="s">
        <v>286</v>
      </c>
      <c r="H50" s="134"/>
    </row>
    <row customHeight="true" ht="22" r="51">
      <c r="A51" s="151">
        <v>17</v>
      </c>
      <c r="B51" s="144" t="s">
        <v>244</v>
      </c>
      <c r="C51" s="144"/>
      <c r="D51" s="145"/>
      <c r="E51" s="146" t="s">
        <v>287</v>
      </c>
      <c r="F51" s="146"/>
      <c r="G51" s="146"/>
      <c r="H51" s="148"/>
    </row>
    <row r="52">
      <c r="A52" s="150">
        <v>18</v>
      </c>
      <c r="B52" s="138" t="s">
        <v>228</v>
      </c>
      <c r="C52" s="138"/>
      <c r="D52" s="139"/>
      <c r="E52" s="140" t="s">
        <v>288</v>
      </c>
      <c r="F52" s="165">
        <v>1</v>
      </c>
      <c r="G52" s="140" t="s">
        <v>289</v>
      </c>
      <c r="H52" s="134"/>
    </row>
    <row r="53">
      <c r="A53" s="153"/>
      <c r="B53" s="138"/>
      <c r="C53" s="138"/>
      <c r="D53" s="139"/>
      <c r="E53" s="140"/>
      <c r="F53" s="165">
        <v>2</v>
      </c>
      <c r="G53" s="140" t="s">
        <v>290</v>
      </c>
      <c r="H53" s="134"/>
    </row>
    <row r="54">
      <c r="A54" s="153"/>
      <c r="B54" s="138"/>
      <c r="C54" s="138"/>
      <c r="D54" s="139"/>
      <c r="E54" s="140"/>
      <c r="F54" s="165">
        <v>3</v>
      </c>
      <c r="G54" s="140" t="s">
        <v>291</v>
      </c>
      <c r="H54" s="134"/>
    </row>
    <row r="55">
      <c r="A55" s="151">
        <v>19</v>
      </c>
      <c r="B55" s="144" t="s">
        <v>244</v>
      </c>
      <c r="C55" s="144"/>
      <c r="D55" s="145"/>
      <c r="E55" s="146" t="s">
        <v>292</v>
      </c>
      <c r="F55" s="147"/>
      <c r="G55" s="147"/>
      <c r="H55" s="148"/>
    </row>
    <row r="56">
      <c r="A56" s="150">
        <v>20</v>
      </c>
      <c r="B56" s="138" t="s">
        <v>228</v>
      </c>
      <c r="C56" s="138"/>
      <c r="D56" s="139"/>
      <c r="E56" s="140" t="s">
        <v>293</v>
      </c>
      <c r="F56" s="132">
        <v>1</v>
      </c>
      <c r="G56" s="140" t="s">
        <v>294</v>
      </c>
      <c r="H56" s="134"/>
    </row>
    <row r="57">
      <c r="A57" s="153"/>
      <c r="B57" s="138"/>
      <c r="C57" s="138"/>
      <c r="D57" s="139"/>
      <c r="E57" s="140"/>
      <c r="F57" s="132">
        <v>2</v>
      </c>
      <c r="G57" s="140" t="s">
        <v>295</v>
      </c>
      <c r="H57" s="134"/>
    </row>
    <row r="58">
      <c r="A58" s="153"/>
      <c r="B58" s="138"/>
      <c r="C58" s="138"/>
      <c r="D58" s="139"/>
      <c r="E58" s="140"/>
      <c r="F58" s="132">
        <v>3</v>
      </c>
      <c r="G58" s="140" t="s">
        <v>296</v>
      </c>
      <c r="H58" s="134"/>
    </row>
    <row r="59">
      <c r="A59" s="151">
        <v>21</v>
      </c>
      <c r="B59" s="144" t="s">
        <v>244</v>
      </c>
      <c r="C59" s="144"/>
      <c r="D59" s="145"/>
      <c r="E59" s="146" t="s">
        <v>297</v>
      </c>
      <c r="F59" s="147"/>
      <c r="G59" s="147"/>
      <c r="H59" s="148"/>
    </row>
    <row r="60">
      <c r="A60" s="154">
        <v>22</v>
      </c>
      <c r="B60" s="166" t="s">
        <v>271</v>
      </c>
      <c r="C60" s="166"/>
      <c r="D60" s="156"/>
      <c r="E60" s="167" t="s">
        <v>298</v>
      </c>
      <c r="F60" s="168"/>
      <c r="G60" s="168"/>
      <c r="H60" s="158"/>
    </row>
    <row r="61">
      <c r="A61" s="159">
        <v>23</v>
      </c>
      <c r="B61" s="160" t="s">
        <v>299</v>
      </c>
      <c r="C61" s="160"/>
      <c r="D61" s="161"/>
      <c r="E61" s="162" t="s">
        <v>299</v>
      </c>
      <c r="F61" s="163"/>
      <c r="G61" s="163"/>
      <c r="H61" s="164"/>
    </row>
    <row r="62">
      <c r="A62" s="123"/>
      <c r="B62" s="123"/>
      <c r="C62" s="123"/>
      <c r="D62" s="123"/>
      <c r="E62" s="123"/>
      <c r="F62" s="123"/>
      <c r="G62" s="123"/>
      <c r="H62" s="169"/>
    </row>
    <row r="63">
      <c r="A63" s="123"/>
      <c r="B63" s="123"/>
      <c r="C63" s="123"/>
      <c r="D63" s="123"/>
      <c r="E63" s="123"/>
      <c r="F63" s="123"/>
      <c r="G63" s="123"/>
      <c r="H63" s="169"/>
    </row>
    <row r="64">
      <c r="A64" s="123"/>
      <c r="B64" s="123"/>
      <c r="C64" s="123"/>
      <c r="D64" s="123"/>
      <c r="E64" s="123"/>
      <c r="F64" s="123"/>
      <c r="G64" s="123"/>
      <c r="H64" s="169"/>
    </row>
    <row r="65">
      <c r="A65" s="123"/>
      <c r="B65" s="123"/>
      <c r="C65" s="123"/>
      <c r="D65" s="123"/>
      <c r="E65" s="123"/>
      <c r="F65" s="123"/>
      <c r="G65" s="123"/>
      <c r="H65" s="169"/>
    </row>
    <row r="66">
      <c r="A66" s="123"/>
      <c r="B66" s="123"/>
      <c r="C66" s="123"/>
      <c r="D66" s="123"/>
      <c r="E66" s="123"/>
      <c r="F66" s="123"/>
      <c r="G66" s="123"/>
      <c r="H66" s="169"/>
    </row>
    <row r="67">
      <c r="A67" s="123"/>
      <c r="B67" s="123"/>
      <c r="C67" s="123"/>
      <c r="D67" s="123"/>
      <c r="E67" s="123"/>
      <c r="F67" s="123"/>
      <c r="G67" s="123"/>
      <c r="H67" s="169"/>
    </row>
    <row r="68">
      <c r="A68" s="123"/>
      <c r="B68" s="123"/>
      <c r="C68" s="123"/>
      <c r="D68" s="123"/>
      <c r="E68" s="123"/>
      <c r="F68" s="123"/>
      <c r="G68" s="123"/>
      <c r="H68" s="169"/>
    </row>
    <row r="69">
      <c r="A69" s="123"/>
      <c r="B69" s="123"/>
      <c r="C69" s="123"/>
      <c r="D69" s="123"/>
      <c r="E69" s="123"/>
      <c r="F69" s="123"/>
      <c r="G69" s="123"/>
      <c r="H69" s="169"/>
    </row>
    <row r="70">
      <c r="A70" s="123"/>
      <c r="B70" s="123"/>
      <c r="C70" s="123"/>
      <c r="D70" s="123"/>
      <c r="E70" s="123"/>
      <c r="F70" s="123"/>
      <c r="G70" s="123"/>
      <c r="H70" s="169"/>
    </row>
  </sheetData>
  <mergeCells>
    <mergeCell ref="E17:G17"/>
    <mergeCell ref="A11:A16"/>
    <mergeCell ref="D11:D16"/>
    <mergeCell ref="B11:C16"/>
    <mergeCell ref="B17:C17"/>
    <mergeCell ref="E11:E16"/>
    <mergeCell ref="B4:C10"/>
    <mergeCell ref="E4:E10"/>
    <mergeCell ref="A1:H1"/>
    <mergeCell ref="A2:C2"/>
    <mergeCell ref="B3:C3"/>
    <mergeCell ref="A4:A10"/>
    <mergeCell ref="D4:D10"/>
    <mergeCell ref="B22:C22"/>
    <mergeCell ref="E22:G22"/>
    <mergeCell ref="A18:A21"/>
    <mergeCell ref="B18:C21"/>
    <mergeCell ref="D18:D21"/>
    <mergeCell ref="E18:E21"/>
    <mergeCell ref="E23:E27"/>
    <mergeCell ref="D23:D27"/>
    <mergeCell ref="B23:C27"/>
    <mergeCell ref="A23:A27"/>
    <mergeCell ref="B28:C28"/>
    <mergeCell ref="E28:G28"/>
    <mergeCell ref="E33:G33"/>
    <mergeCell ref="B33:C33"/>
    <mergeCell ref="E29:E32"/>
    <mergeCell ref="B29:C32"/>
    <mergeCell ref="D29:D32"/>
    <mergeCell ref="A29:A32"/>
    <mergeCell ref="E60:G60"/>
    <mergeCell ref="E59:G59"/>
    <mergeCell ref="B45:C50"/>
    <mergeCell ref="B51:C51"/>
    <mergeCell ref="A45:A50"/>
    <mergeCell ref="D45:D50"/>
    <mergeCell ref="E45:E50"/>
    <mergeCell ref="B60:C60"/>
    <mergeCell ref="B59:C59"/>
    <mergeCell ref="B56:C58"/>
    <mergeCell ref="B55:C55"/>
    <mergeCell ref="B52:C54"/>
    <mergeCell ref="B61:C61"/>
    <mergeCell ref="A56:A58"/>
    <mergeCell ref="D56:D58"/>
    <mergeCell ref="A52:A54"/>
    <mergeCell ref="D52:D54"/>
    <mergeCell ref="E56:E58"/>
    <mergeCell ref="E52:E54"/>
    <mergeCell ref="E44:G44"/>
    <mergeCell ref="E39:G39"/>
    <mergeCell ref="E38:G38"/>
    <mergeCell ref="B38:C38"/>
    <mergeCell ref="B34:C37"/>
    <mergeCell ref="A34:A37"/>
    <mergeCell ref="D34:D37"/>
    <mergeCell ref="E34:E37"/>
    <mergeCell ref="E41:E43"/>
    <mergeCell ref="D41:D43"/>
    <mergeCell ref="A41:A43"/>
    <mergeCell ref="B40:C40"/>
    <mergeCell ref="B41:C43"/>
    <mergeCell ref="B44:C44"/>
    <mergeCell ref="B39:C39"/>
    <mergeCell ref="E55:G55"/>
    <mergeCell ref="E61:G61"/>
    <mergeCell ref="E51:G51"/>
    <mergeCell ref="E40:G40"/>
  </mergeCells>
  <dataValidations count="1">
    <dataValidation allowBlank="true" errorStyle="stop" showErrorMessage="true" sqref="B4:B11 B17:B18 B22:B23 B28:B29 B33:B45 B51:B61 C4:C10 C22:C22 C28:C28 C33:C38 C40:C44 C52:C61" type="list">
      <formula1>"Lý thuyết,Thực hành,Hackathon,Thi cuối môn,Mini project"</formula1>
    </dataValidation>
  </dataValidation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4e83fd"/>
    <outlinePr summaryBelow="false" summaryRight="false"/>
  </sheetPr>
  <dimension ref="A1"/>
  <sheetViews>
    <sheetView showGridLines="true" workbookViewId="0"/>
  </sheetViews>
  <sheetFormatPr defaultColWidth="12" defaultRowHeight="18"/>
  <cols>
    <col collapsed="false" customWidth="true" hidden="false" max="1" min="1" style="0" width="11"/>
    <col collapsed="false" customWidth="true" hidden="false" max="3" min="3" style="0" width="10"/>
    <col collapsed="false" customWidth="true" hidden="false" max="5" min="5" style="0" width="38"/>
    <col collapsed="false" customWidth="true" hidden="false" max="7" min="7" style="0" width="97"/>
    <col collapsed="false" customWidth="true" hidden="false" max="2" min="2" style="0" width="8"/>
    <col collapsed="false" customWidth="true" hidden="false" max="4" min="4" style="0" width="12"/>
    <col collapsed="false" customWidth="true" hidden="false" max="6" min="6" style="0" width="14"/>
    <col collapsed="false" customWidth="true" hidden="false" max="8" min="8" style="0" width="28"/>
  </cols>
  <sheetData>
    <row r="1">
      <c r="A1" s="170" t="s">
        <v>300</v>
      </c>
      <c r="B1" s="171"/>
      <c r="C1" s="171"/>
      <c r="D1" s="171"/>
      <c r="E1" s="171"/>
      <c r="F1" s="171"/>
      <c r="G1" s="171"/>
      <c r="H1" s="171"/>
    </row>
    <row r="2">
      <c r="A2" s="172"/>
      <c r="B2" s="172"/>
      <c r="C2" s="172"/>
      <c r="D2" s="173"/>
      <c r="E2" s="173"/>
      <c r="F2" s="173"/>
      <c r="G2" s="173"/>
      <c r="H2" s="173"/>
    </row>
    <row r="3">
      <c r="A3" s="174" t="s">
        <v>301</v>
      </c>
      <c r="B3" s="175" t="s">
        <v>302</v>
      </c>
      <c r="C3" s="175"/>
      <c r="D3" s="175" t="s">
        <v>303</v>
      </c>
      <c r="E3" s="175" t="s">
        <v>304</v>
      </c>
      <c r="F3" s="175" t="s">
        <v>305</v>
      </c>
      <c r="G3" s="176" t="s">
        <v>306</v>
      </c>
      <c r="H3" s="177" t="s">
        <v>307</v>
      </c>
    </row>
    <row r="4">
      <c r="A4" s="178">
        <v>1</v>
      </c>
      <c r="B4" s="179" t="s">
        <v>308</v>
      </c>
      <c r="C4" s="179"/>
      <c r="D4" s="180"/>
      <c r="E4" s="181" t="s">
        <v>309</v>
      </c>
      <c r="F4" s="181"/>
      <c r="G4" s="181" t="s">
        <v>310</v>
      </c>
      <c r="H4" s="182"/>
    </row>
    <row r="5">
      <c r="A5" s="178"/>
      <c r="B5" s="179"/>
      <c r="C5" s="179"/>
      <c r="D5" s="180"/>
      <c r="E5" s="181"/>
      <c r="F5" s="181"/>
      <c r="G5" s="183" t="s">
        <v>311</v>
      </c>
      <c r="H5" s="182"/>
    </row>
    <row r="6">
      <c r="A6" s="180"/>
      <c r="B6" s="179"/>
      <c r="C6" s="179"/>
      <c r="D6" s="180"/>
      <c r="E6" s="181"/>
      <c r="F6" s="181"/>
      <c r="G6" s="181" t="s">
        <v>312</v>
      </c>
      <c r="H6" s="182"/>
    </row>
    <row r="7">
      <c r="A7" s="180"/>
      <c r="B7" s="179"/>
      <c r="C7" s="179"/>
      <c r="D7" s="180"/>
      <c r="E7" s="181"/>
      <c r="F7" s="181"/>
      <c r="G7" s="181" t="s">
        <v>313</v>
      </c>
      <c r="H7" s="182"/>
    </row>
    <row r="8">
      <c r="A8" s="178">
        <v>2</v>
      </c>
      <c r="B8" s="179" t="s">
        <v>308</v>
      </c>
      <c r="C8" s="179"/>
      <c r="D8" s="180"/>
      <c r="E8" s="181" t="s">
        <v>314</v>
      </c>
      <c r="F8" s="181"/>
      <c r="G8" s="181" t="s">
        <v>315</v>
      </c>
      <c r="H8" s="182"/>
    </row>
    <row r="9">
      <c r="A9" s="180"/>
      <c r="B9" s="179"/>
      <c r="C9" s="179"/>
      <c r="D9" s="180"/>
      <c r="E9" s="181"/>
      <c r="F9" s="181"/>
      <c r="G9" s="181" t="s">
        <v>316</v>
      </c>
      <c r="H9" s="182"/>
    </row>
    <row r="10">
      <c r="A10" s="180"/>
      <c r="B10" s="179"/>
      <c r="C10" s="179"/>
      <c r="D10" s="180"/>
      <c r="E10" s="181"/>
      <c r="F10" s="181"/>
      <c r="G10" s="181" t="s">
        <v>317</v>
      </c>
      <c r="H10" s="182"/>
    </row>
    <row customHeight="true" ht="22" r="11">
      <c r="A11" s="184">
        <v>3</v>
      </c>
      <c r="B11" s="185" t="s">
        <v>318</v>
      </c>
      <c r="C11" s="185"/>
      <c r="D11" s="186"/>
      <c r="E11" s="187" t="s">
        <v>319</v>
      </c>
      <c r="F11" s="187"/>
      <c r="G11" s="187"/>
      <c r="H11" s="188"/>
    </row>
    <row r="12">
      <c r="A12" s="178">
        <v>4</v>
      </c>
      <c r="B12" s="179" t="s">
        <v>308</v>
      </c>
      <c r="C12" s="179"/>
      <c r="D12" s="180"/>
      <c r="E12" s="181" t="s">
        <v>320</v>
      </c>
      <c r="F12" s="181"/>
      <c r="G12" s="183" t="s">
        <v>321</v>
      </c>
      <c r="H12" s="182"/>
    </row>
    <row r="13">
      <c r="A13" s="180"/>
      <c r="B13" s="179"/>
      <c r="C13" s="179"/>
      <c r="D13" s="180"/>
      <c r="E13" s="181"/>
      <c r="F13" s="181"/>
      <c r="G13" s="183" t="s">
        <v>322</v>
      </c>
      <c r="H13" s="182"/>
    </row>
    <row r="14">
      <c r="A14" s="180"/>
      <c r="B14" s="179"/>
      <c r="C14" s="179"/>
      <c r="D14" s="180"/>
      <c r="E14" s="181"/>
      <c r="F14" s="181"/>
      <c r="G14" s="181" t="s">
        <v>323</v>
      </c>
      <c r="H14" s="182"/>
    </row>
    <row customHeight="true" ht="22" r="15">
      <c r="A15" s="184">
        <v>5</v>
      </c>
      <c r="B15" s="185" t="s">
        <v>318</v>
      </c>
      <c r="C15" s="185"/>
      <c r="D15" s="186"/>
      <c r="E15" s="187" t="s">
        <v>324</v>
      </c>
      <c r="F15" s="187"/>
      <c r="G15" s="187"/>
      <c r="H15" s="188"/>
    </row>
    <row r="16">
      <c r="A16" s="178">
        <v>6</v>
      </c>
      <c r="B16" s="179" t="s">
        <v>308</v>
      </c>
      <c r="C16" s="179"/>
      <c r="D16" s="180"/>
      <c r="E16" s="189" t="s">
        <v>325</v>
      </c>
      <c r="F16" s="181"/>
      <c r="G16" s="181" t="s">
        <v>326</v>
      </c>
      <c r="H16" s="182"/>
    </row>
    <row r="17">
      <c r="A17" s="180"/>
      <c r="B17" s="179"/>
      <c r="C17" s="179"/>
      <c r="D17" s="180"/>
      <c r="E17" s="181"/>
      <c r="F17" s="181"/>
      <c r="G17" s="181" t="s">
        <v>327</v>
      </c>
      <c r="H17" s="182"/>
    </row>
    <row r="18">
      <c r="A18" s="180"/>
      <c r="B18" s="179"/>
      <c r="C18" s="179"/>
      <c r="D18" s="180"/>
      <c r="E18" s="181"/>
      <c r="F18" s="181"/>
      <c r="G18" s="181" t="s">
        <v>328</v>
      </c>
      <c r="H18" s="182"/>
    </row>
    <row customHeight="true" ht="22" r="19">
      <c r="A19" s="184">
        <v>7</v>
      </c>
      <c r="B19" s="185" t="s">
        <v>318</v>
      </c>
      <c r="C19" s="185"/>
      <c r="D19" s="186"/>
      <c r="E19" s="187" t="s">
        <v>329</v>
      </c>
      <c r="F19" s="187"/>
      <c r="G19" s="187"/>
      <c r="H19" s="188"/>
    </row>
    <row r="20">
      <c r="A20" s="178">
        <v>8</v>
      </c>
      <c r="B20" s="179" t="s">
        <v>308</v>
      </c>
      <c r="C20" s="179"/>
      <c r="D20" s="180"/>
      <c r="E20" s="181" t="s">
        <v>330</v>
      </c>
      <c r="F20" s="181"/>
      <c r="G20" s="181" t="s">
        <v>331</v>
      </c>
      <c r="H20" s="182"/>
    </row>
    <row r="21">
      <c r="A21" s="180"/>
      <c r="B21" s="179"/>
      <c r="C21" s="179"/>
      <c r="D21" s="180"/>
      <c r="E21" s="181"/>
      <c r="F21" s="181"/>
      <c r="G21" s="181" t="s">
        <v>332</v>
      </c>
      <c r="H21" s="182"/>
    </row>
    <row r="22">
      <c r="A22" s="180"/>
      <c r="B22" s="179"/>
      <c r="C22" s="179"/>
      <c r="D22" s="180"/>
      <c r="E22" s="181"/>
      <c r="F22" s="181"/>
      <c r="G22" s="181" t="s">
        <v>333</v>
      </c>
      <c r="H22" s="182"/>
    </row>
    <row r="23">
      <c r="A23" s="190">
        <v>9</v>
      </c>
      <c r="B23" s="191" t="s">
        <v>334</v>
      </c>
      <c r="C23" s="191"/>
      <c r="D23" s="192"/>
      <c r="E23" s="193" t="s">
        <v>335</v>
      </c>
      <c r="F23" s="193"/>
      <c r="G23" s="193"/>
      <c r="H23" s="194"/>
    </row>
    <row customHeight="true" ht="22" r="24">
      <c r="A24" s="195">
        <v>10</v>
      </c>
      <c r="B24" s="196" t="s">
        <v>336</v>
      </c>
      <c r="C24" s="196"/>
      <c r="D24" s="197"/>
      <c r="E24" s="198" t="s">
        <v>337</v>
      </c>
      <c r="F24" s="198"/>
      <c r="G24" s="198"/>
      <c r="H24" s="199"/>
    </row>
    <row r="25">
      <c r="A25" s="200"/>
      <c r="B25" s="200"/>
      <c r="C25" s="200"/>
      <c r="D25" s="200"/>
      <c r="E25" s="200"/>
      <c r="F25" s="200"/>
      <c r="G25" s="200"/>
      <c r="H25" s="201"/>
    </row>
    <row r="26">
      <c r="A26" s="173"/>
      <c r="B26" s="173"/>
      <c r="C26" s="173"/>
      <c r="D26" s="173"/>
      <c r="E26" s="173"/>
      <c r="F26" s="173"/>
      <c r="G26" s="173"/>
      <c r="H26" s="201"/>
    </row>
    <row r="27">
      <c r="A27" s="173"/>
      <c r="B27" s="173"/>
      <c r="C27" s="173"/>
      <c r="D27" s="173"/>
      <c r="E27" s="173"/>
      <c r="F27" s="173"/>
      <c r="G27" s="173"/>
      <c r="H27" s="201"/>
    </row>
    <row r="28">
      <c r="A28" s="173"/>
      <c r="B28" s="173"/>
      <c r="C28" s="173"/>
      <c r="D28" s="173"/>
      <c r="E28" s="173"/>
      <c r="F28" s="173"/>
      <c r="G28" s="173"/>
      <c r="H28" s="201"/>
    </row>
    <row r="29">
      <c r="A29" s="173"/>
      <c r="B29" s="173"/>
      <c r="C29" s="173"/>
      <c r="D29" s="173"/>
      <c r="E29" s="173"/>
      <c r="F29" s="173"/>
      <c r="G29" s="173"/>
      <c r="H29" s="201"/>
    </row>
    <row r="30">
      <c r="A30" s="173"/>
      <c r="B30" s="173"/>
      <c r="C30" s="173"/>
      <c r="D30" s="173"/>
      <c r="E30" s="173"/>
      <c r="F30" s="173"/>
      <c r="G30" s="173"/>
      <c r="H30" s="201"/>
    </row>
    <row r="31">
      <c r="A31" s="173"/>
      <c r="B31" s="173"/>
      <c r="C31" s="173"/>
      <c r="D31" s="173"/>
      <c r="E31" s="173"/>
      <c r="F31" s="173"/>
      <c r="G31" s="173"/>
      <c r="H31" s="201"/>
    </row>
    <row r="32">
      <c r="A32" s="173"/>
      <c r="B32" s="173"/>
      <c r="C32" s="173"/>
      <c r="D32" s="173"/>
      <c r="E32" s="173"/>
      <c r="F32" s="173"/>
      <c r="G32" s="173"/>
      <c r="H32" s="201"/>
    </row>
    <row r="33">
      <c r="A33" s="173"/>
      <c r="B33" s="173"/>
      <c r="C33" s="173"/>
      <c r="D33" s="173"/>
      <c r="E33" s="173"/>
      <c r="F33" s="173"/>
      <c r="G33" s="173"/>
      <c r="H33" s="201"/>
    </row>
  </sheetData>
  <mergeCells>
    <mergeCell ref="A1:H1"/>
    <mergeCell ref="A2:C2"/>
    <mergeCell ref="B3:C3"/>
    <mergeCell ref="B4:C7"/>
    <mergeCell ref="B8:C10"/>
    <mergeCell ref="B12:C14"/>
    <mergeCell ref="B15:C15"/>
    <mergeCell ref="B16:C18"/>
    <mergeCell ref="B19:C19"/>
    <mergeCell ref="B20:C22"/>
    <mergeCell ref="B23:C23"/>
    <mergeCell ref="B24:C24"/>
    <mergeCell ref="B11:C11"/>
    <mergeCell ref="A4:A7"/>
    <mergeCell ref="D4:D7"/>
    <mergeCell ref="A8:A10"/>
    <mergeCell ref="D8:D10"/>
    <mergeCell ref="A12:A14"/>
    <mergeCell ref="D12:D14"/>
    <mergeCell ref="A16:A18"/>
    <mergeCell ref="D16:D18"/>
    <mergeCell ref="A20:A22"/>
    <mergeCell ref="D20:D22"/>
    <mergeCell ref="E11:G11"/>
    <mergeCell ref="E15:G15"/>
    <mergeCell ref="E19:G19"/>
    <mergeCell ref="E23:G23"/>
    <mergeCell ref="E24:G24"/>
    <mergeCell ref="E4:E7"/>
    <mergeCell ref="E8:E10"/>
    <mergeCell ref="E12:E14"/>
    <mergeCell ref="E16:E18"/>
    <mergeCell ref="E20:E22"/>
  </mergeCells>
  <dataValidations count="1">
    <dataValidation allowBlank="true" errorStyle="stop" showErrorMessage="true" sqref="B4:B5 B8:B8 B11:B12 B15:B16 B19:B20 B23:B24" type="list">
      <formula1>"Lý thuyết,Thực hành,Hackathon,Thi cuối môn,Mini project"</formula1>
    </dataValidation>
  </dataValidation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4e83fd"/>
    <outlinePr summaryBelow="false" summaryRight="false"/>
  </sheetPr>
  <dimension ref="A1"/>
  <sheetViews>
    <sheetView showGridLines="true" workbookViewId="0"/>
  </sheetViews>
  <sheetFormatPr defaultColWidth="12" defaultRowHeight="18"/>
  <cols>
    <col collapsed="false" customWidth="true" hidden="false" max="4" min="4" style="0" width="12"/>
    <col collapsed="false" customWidth="true" hidden="false" max="6" min="6" style="0" width="14"/>
    <col collapsed="false" customWidth="true" hidden="false" max="8" min="8" style="0" width="28"/>
    <col collapsed="false" customWidth="true" hidden="false" max="2" min="2" style="0" width="8"/>
    <col collapsed="false" customWidth="true" hidden="false" max="3" min="3" style="0" width="10"/>
    <col collapsed="false" customWidth="true" hidden="false" max="5" min="5" style="0" width="38"/>
    <col collapsed="false" customWidth="true" hidden="false" max="7" min="7" style="0" width="97"/>
    <col collapsed="false" customWidth="true" hidden="false" max="1" min="1" style="0" width="11"/>
  </cols>
  <sheetData>
    <row r="1">
      <c r="A1" s="202" t="s">
        <v>338</v>
      </c>
      <c r="B1" s="203"/>
      <c r="C1" s="203"/>
      <c r="D1" s="203"/>
      <c r="E1" s="203"/>
      <c r="F1" s="203"/>
      <c r="G1" s="203"/>
      <c r="H1" s="203"/>
    </row>
    <row r="2">
      <c r="A2" s="204"/>
      <c r="B2" s="204"/>
      <c r="C2" s="204"/>
      <c r="D2" s="205"/>
      <c r="E2" s="205"/>
      <c r="F2" s="205"/>
      <c r="G2" s="205"/>
      <c r="H2" s="205"/>
    </row>
    <row r="3">
      <c r="A3" s="206" t="s">
        <v>339</v>
      </c>
      <c r="B3" s="206" t="s">
        <v>340</v>
      </c>
      <c r="C3" s="206"/>
      <c r="D3" s="206" t="s">
        <v>341</v>
      </c>
      <c r="E3" s="206" t="s">
        <v>342</v>
      </c>
      <c r="F3" s="206" t="s">
        <v>343</v>
      </c>
      <c r="G3" s="207" t="s">
        <v>344</v>
      </c>
      <c r="H3" s="208" t="s">
        <v>345</v>
      </c>
    </row>
    <row r="4">
      <c r="A4" s="209">
        <v>1</v>
      </c>
      <c r="B4" s="210" t="s">
        <v>346</v>
      </c>
      <c r="C4" s="210"/>
      <c r="D4" s="211"/>
      <c r="E4" s="211" t="s">
        <v>347</v>
      </c>
      <c r="F4" s="211"/>
      <c r="G4" s="211" t="s">
        <v>348</v>
      </c>
      <c r="H4" s="212"/>
    </row>
    <row r="5">
      <c r="A5" s="210"/>
      <c r="B5" s="210"/>
      <c r="C5" s="210"/>
      <c r="D5" s="211"/>
      <c r="E5" s="211"/>
      <c r="F5" s="211"/>
      <c r="G5" s="211" t="s">
        <v>349</v>
      </c>
      <c r="H5" s="212"/>
    </row>
    <row r="6">
      <c r="A6" s="210"/>
      <c r="B6" s="210"/>
      <c r="C6" s="210"/>
      <c r="D6" s="211"/>
      <c r="E6" s="211"/>
      <c r="F6" s="211"/>
      <c r="G6" s="213" t="s">
        <v>350</v>
      </c>
      <c r="H6" s="212"/>
    </row>
    <row r="7">
      <c r="A7" s="209">
        <v>2</v>
      </c>
      <c r="B7" s="210" t="s">
        <v>346</v>
      </c>
      <c r="C7" s="210"/>
      <c r="D7" s="211"/>
      <c r="E7" s="214" t="s">
        <v>351</v>
      </c>
      <c r="F7" s="211"/>
      <c r="G7" s="213" t="s">
        <v>352</v>
      </c>
      <c r="H7" s="212"/>
    </row>
    <row r="8">
      <c r="A8" s="210"/>
      <c r="B8" s="210"/>
      <c r="C8" s="210"/>
      <c r="D8" s="211"/>
      <c r="E8" s="211"/>
      <c r="F8" s="211"/>
      <c r="G8" s="213" t="s">
        <v>353</v>
      </c>
      <c r="H8" s="212"/>
    </row>
    <row r="9">
      <c r="A9" s="210"/>
      <c r="B9" s="210"/>
      <c r="C9" s="210"/>
      <c r="D9" s="211"/>
      <c r="E9" s="211"/>
      <c r="F9" s="211"/>
      <c r="G9" s="211" t="s">
        <v>354</v>
      </c>
      <c r="H9" s="212"/>
    </row>
    <row r="10">
      <c r="A10" s="215">
        <v>3</v>
      </c>
      <c r="B10" s="216" t="s">
        <v>355</v>
      </c>
      <c r="C10" s="216"/>
      <c r="D10" s="217"/>
      <c r="E10" s="218" t="s">
        <v>356</v>
      </c>
      <c r="F10" s="218"/>
      <c r="G10" s="218"/>
      <c r="H10" s="219"/>
    </row>
    <row r="11">
      <c r="A11" s="209">
        <v>4</v>
      </c>
      <c r="B11" s="210" t="s">
        <v>346</v>
      </c>
      <c r="C11" s="210"/>
      <c r="D11" s="211"/>
      <c r="E11" s="211" t="s">
        <v>357</v>
      </c>
      <c r="F11" s="211"/>
      <c r="G11" s="211" t="s">
        <v>358</v>
      </c>
      <c r="H11" s="212"/>
    </row>
    <row r="12">
      <c r="A12" s="210"/>
      <c r="B12" s="210"/>
      <c r="C12" s="210"/>
      <c r="D12" s="211"/>
      <c r="E12" s="211"/>
      <c r="F12" s="211"/>
      <c r="G12" s="211" t="s">
        <v>359</v>
      </c>
      <c r="H12" s="212"/>
    </row>
    <row r="13">
      <c r="A13" s="210"/>
      <c r="B13" s="210"/>
      <c r="C13" s="210"/>
      <c r="D13" s="211"/>
      <c r="E13" s="211"/>
      <c r="F13" s="211"/>
      <c r="G13" s="211" t="s">
        <v>360</v>
      </c>
      <c r="H13" s="212"/>
    </row>
    <row r="14">
      <c r="A14" s="220">
        <v>5</v>
      </c>
      <c r="B14" s="216" t="s">
        <v>355</v>
      </c>
      <c r="C14" s="216"/>
      <c r="D14" s="217"/>
      <c r="E14" s="218" t="s">
        <v>361</v>
      </c>
      <c r="F14" s="218"/>
      <c r="G14" s="218"/>
      <c r="H14" s="219"/>
    </row>
    <row r="15">
      <c r="A15" s="209">
        <v>6</v>
      </c>
      <c r="B15" s="221" t="s">
        <v>346</v>
      </c>
      <c r="C15" s="221"/>
      <c r="D15" s="211"/>
      <c r="E15" s="211" t="s">
        <v>362</v>
      </c>
      <c r="F15" s="211"/>
      <c r="G15" s="211" t="s">
        <v>363</v>
      </c>
      <c r="H15" s="212"/>
    </row>
    <row customHeight="true" ht="22" r="16">
      <c r="A16" s="210"/>
      <c r="B16" s="221"/>
      <c r="C16" s="221"/>
      <c r="D16" s="211"/>
      <c r="E16" s="211"/>
      <c r="F16" s="211"/>
      <c r="G16" s="211" t="s">
        <v>364</v>
      </c>
      <c r="H16" s="222"/>
    </row>
    <row r="17">
      <c r="A17" s="210"/>
      <c r="B17" s="221"/>
      <c r="C17" s="221"/>
      <c r="D17" s="211"/>
      <c r="E17" s="211"/>
      <c r="F17" s="211"/>
      <c r="G17" s="213" t="s">
        <v>365</v>
      </c>
      <c r="H17" s="212"/>
    </row>
    <row r="18">
      <c r="A18" s="220">
        <v>7</v>
      </c>
      <c r="B18" s="216" t="s">
        <v>355</v>
      </c>
      <c r="C18" s="216"/>
      <c r="D18" s="217"/>
      <c r="E18" s="218" t="s">
        <v>366</v>
      </c>
      <c r="F18" s="217"/>
      <c r="G18" s="217"/>
      <c r="H18" s="219"/>
    </row>
    <row r="19">
      <c r="A19" s="220">
        <v>8</v>
      </c>
      <c r="B19" s="216" t="s">
        <v>355</v>
      </c>
      <c r="C19" s="216"/>
      <c r="D19" s="217"/>
      <c r="E19" s="218" t="s">
        <v>367</v>
      </c>
      <c r="F19" s="218"/>
      <c r="G19" s="218"/>
      <c r="H19" s="219"/>
    </row>
    <row r="20">
      <c r="A20" s="223">
        <v>9</v>
      </c>
      <c r="B20" s="224" t="s">
        <v>368</v>
      </c>
      <c r="C20" s="224"/>
      <c r="D20" s="225"/>
      <c r="E20" s="226" t="s">
        <v>369</v>
      </c>
      <c r="F20" s="225"/>
      <c r="G20" s="225"/>
      <c r="H20" s="227"/>
    </row>
    <row r="21">
      <c r="A21" s="228">
        <v>10</v>
      </c>
      <c r="B21" s="229" t="s">
        <v>370</v>
      </c>
      <c r="C21" s="229"/>
      <c r="D21" s="230"/>
      <c r="E21" s="231" t="s">
        <v>370</v>
      </c>
      <c r="F21" s="231"/>
      <c r="G21" s="231"/>
      <c r="H21" s="232"/>
    </row>
    <row r="22">
      <c r="A22" s="205"/>
      <c r="B22" s="205"/>
      <c r="C22" s="205"/>
      <c r="D22" s="205"/>
      <c r="E22" s="205"/>
      <c r="F22" s="205"/>
      <c r="G22" s="205"/>
      <c r="H22" s="233"/>
    </row>
    <row r="23">
      <c r="A23" s="205"/>
      <c r="B23" s="205"/>
      <c r="C23" s="205"/>
      <c r="D23" s="205"/>
      <c r="E23" s="205"/>
      <c r="F23" s="205"/>
      <c r="G23" s="205"/>
      <c r="H23" s="233"/>
    </row>
    <row r="24">
      <c r="A24" s="205"/>
      <c r="B24" s="205"/>
      <c r="C24" s="205"/>
      <c r="D24" s="205"/>
      <c r="E24" s="205"/>
      <c r="F24" s="205"/>
      <c r="G24" s="205"/>
      <c r="H24" s="233"/>
    </row>
    <row r="25">
      <c r="A25" s="205"/>
      <c r="B25" s="205"/>
      <c r="C25" s="205"/>
      <c r="D25" s="205"/>
      <c r="E25" s="205"/>
      <c r="F25" s="205"/>
      <c r="G25" s="205"/>
      <c r="H25" s="233"/>
    </row>
    <row r="26">
      <c r="A26" s="205"/>
      <c r="B26" s="205"/>
      <c r="C26" s="205"/>
      <c r="D26" s="205"/>
      <c r="E26" s="205"/>
      <c r="F26" s="205"/>
      <c r="G26" s="205"/>
      <c r="H26" s="233"/>
    </row>
    <row r="27">
      <c r="A27" s="205"/>
      <c r="B27" s="205"/>
      <c r="C27" s="205"/>
      <c r="D27" s="205"/>
      <c r="E27" s="205"/>
      <c r="F27" s="205"/>
      <c r="G27" s="205"/>
      <c r="H27" s="233"/>
    </row>
  </sheetData>
  <mergeCells>
    <mergeCell ref="E15:E17"/>
    <mergeCell ref="E7:E9"/>
    <mergeCell ref="E4:E6"/>
    <mergeCell ref="B19:C19"/>
    <mergeCell ref="B18:C18"/>
    <mergeCell ref="B15:C17"/>
    <mergeCell ref="B14:C14"/>
    <mergeCell ref="B11:C13"/>
    <mergeCell ref="B10:C10"/>
    <mergeCell ref="B7:C9"/>
    <mergeCell ref="B4:C6"/>
    <mergeCell ref="B3:C3"/>
    <mergeCell ref="A2:C2"/>
    <mergeCell ref="A1:H1"/>
    <mergeCell ref="E11:E13"/>
    <mergeCell ref="B20:C20"/>
    <mergeCell ref="B21:C21"/>
    <mergeCell ref="E10:G10"/>
    <mergeCell ref="E14:G14"/>
    <mergeCell ref="E18:G18"/>
    <mergeCell ref="E19:G19"/>
    <mergeCell ref="E20:G20"/>
    <mergeCell ref="E21:G21"/>
    <mergeCell ref="D4:D6"/>
    <mergeCell ref="D7:D9"/>
    <mergeCell ref="D11:D13"/>
    <mergeCell ref="D15:D17"/>
    <mergeCell ref="A4:A6"/>
    <mergeCell ref="A7:A9"/>
    <mergeCell ref="A11:A13"/>
    <mergeCell ref="A15:A17"/>
  </mergeCells>
  <dataValidations count="1">
    <dataValidation allowBlank="true" errorStyle="stop" showErrorMessage="true" sqref="B4:B4 B7:B7 B10:B11 B14:B15 B18:B21" type="list">
      <formula1>"Lý thuyết,Thực hành,Hackathon,Thi cuối môn,Mini project"</formula1>
    </dataValidation>
  </dataValidation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4e83fd"/>
    <outlinePr summaryBelow="false" summaryRight="false"/>
  </sheetPr>
  <dimension ref="A1"/>
  <sheetViews>
    <sheetView showGridLines="true" workbookViewId="0"/>
  </sheetViews>
  <sheetFormatPr defaultColWidth="12" defaultRowHeight="18"/>
  <cols>
    <col collapsed="false" customWidth="true" hidden="false" max="1" min="1" style="0" width="11"/>
    <col collapsed="false" customWidth="true" hidden="false" max="2" min="2" style="0" width="8"/>
    <col collapsed="false" customWidth="true" hidden="false" max="3" min="3" style="0" width="10"/>
    <col collapsed="false" customWidth="true" hidden="false" max="6" min="6" style="0" width="14"/>
    <col collapsed="false" customWidth="true" hidden="false" max="8" min="8" style="0" width="28"/>
    <col collapsed="false" customWidth="true" hidden="false" max="4" min="4" style="0" width="12"/>
    <col collapsed="false" customWidth="true" hidden="false" max="5" min="5" style="0" width="38"/>
    <col collapsed="false" customWidth="true" hidden="false" max="7" min="7" style="0" width="97"/>
  </cols>
  <sheetData>
    <row r="1">
      <c r="A1" s="234" t="s">
        <v>371</v>
      </c>
      <c r="B1" s="235"/>
      <c r="C1" s="235"/>
      <c r="D1" s="235"/>
      <c r="E1" s="235"/>
      <c r="F1" s="235"/>
      <c r="G1" s="235"/>
      <c r="H1" s="235"/>
    </row>
    <row r="2">
      <c r="A2" s="236"/>
      <c r="B2" s="236"/>
      <c r="C2" s="236"/>
      <c r="D2" s="237"/>
      <c r="E2" s="237"/>
      <c r="F2" s="237"/>
      <c r="G2" s="237"/>
      <c r="H2" s="237"/>
    </row>
    <row r="3">
      <c r="A3" s="238" t="s">
        <v>372</v>
      </c>
      <c r="B3" s="238" t="s">
        <v>373</v>
      </c>
      <c r="C3" s="238"/>
      <c r="D3" s="238" t="s">
        <v>374</v>
      </c>
      <c r="E3" s="238" t="s">
        <v>375</v>
      </c>
      <c r="F3" s="238" t="s">
        <v>376</v>
      </c>
      <c r="G3" s="239" t="s">
        <v>377</v>
      </c>
      <c r="H3" s="240" t="s">
        <v>378</v>
      </c>
    </row>
    <row r="4">
      <c r="A4" s="241">
        <v>1</v>
      </c>
      <c r="B4" s="242" t="s">
        <v>379</v>
      </c>
      <c r="C4" s="242"/>
      <c r="D4" s="243"/>
      <c r="E4" s="244" t="s">
        <v>380</v>
      </c>
      <c r="F4" s="243"/>
      <c r="G4" s="244" t="s">
        <v>381</v>
      </c>
      <c r="H4" s="245"/>
    </row>
    <row r="5">
      <c r="A5" s="241"/>
      <c r="B5" s="242"/>
      <c r="C5" s="242"/>
      <c r="D5" s="243"/>
      <c r="E5" s="244"/>
      <c r="F5" s="243"/>
      <c r="G5" s="244" t="s">
        <v>382</v>
      </c>
      <c r="H5" s="245"/>
    </row>
    <row r="6">
      <c r="A6" s="241"/>
      <c r="B6" s="242"/>
      <c r="C6" s="242"/>
      <c r="D6" s="243"/>
      <c r="E6" s="244"/>
      <c r="F6" s="243"/>
      <c r="G6" s="244" t="s">
        <v>383</v>
      </c>
      <c r="H6" s="245"/>
    </row>
    <row r="7">
      <c r="A7" s="241"/>
      <c r="B7" s="242"/>
      <c r="C7" s="242"/>
      <c r="D7" s="243"/>
      <c r="E7" s="244"/>
      <c r="F7" s="243"/>
      <c r="G7" s="244" t="s">
        <v>384</v>
      </c>
      <c r="H7" s="245"/>
    </row>
    <row r="8">
      <c r="A8" s="241"/>
      <c r="B8" s="242"/>
      <c r="C8" s="242"/>
      <c r="D8" s="243"/>
      <c r="E8" s="244"/>
      <c r="F8" s="243"/>
      <c r="G8" s="244" t="s">
        <v>385</v>
      </c>
      <c r="H8" s="245"/>
    </row>
    <row r="9">
      <c r="A9" s="246">
        <v>2</v>
      </c>
      <c r="B9" s="247" t="s">
        <v>386</v>
      </c>
      <c r="C9" s="247"/>
      <c r="D9" s="248"/>
      <c r="E9" s="249" t="s">
        <v>387</v>
      </c>
      <c r="F9" s="249"/>
      <c r="G9" s="249"/>
      <c r="H9" s="250"/>
    </row>
    <row r="10">
      <c r="A10" s="241">
        <v>3</v>
      </c>
      <c r="B10" s="242" t="s">
        <v>379</v>
      </c>
      <c r="C10" s="242"/>
      <c r="D10" s="241"/>
      <c r="E10" s="244" t="s">
        <v>388</v>
      </c>
      <c r="F10" s="243"/>
      <c r="G10" s="251" t="s">
        <v>389</v>
      </c>
      <c r="H10" s="245"/>
    </row>
    <row r="11">
      <c r="A11" s="241"/>
      <c r="B11" s="242"/>
      <c r="C11" s="242"/>
      <c r="D11" s="241"/>
      <c r="E11" s="244"/>
      <c r="F11" s="243"/>
      <c r="G11" s="251" t="s">
        <v>390</v>
      </c>
      <c r="H11" s="245"/>
    </row>
    <row r="12">
      <c r="A12" s="241"/>
      <c r="B12" s="242"/>
      <c r="C12" s="242"/>
      <c r="D12" s="241"/>
      <c r="E12" s="244"/>
      <c r="F12" s="243"/>
      <c r="G12" s="252" t="s">
        <v>391</v>
      </c>
      <c r="H12" s="245"/>
    </row>
    <row r="13">
      <c r="A13" s="241"/>
      <c r="B13" s="242"/>
      <c r="C13" s="242"/>
      <c r="D13" s="241"/>
      <c r="E13" s="244"/>
      <c r="F13" s="243"/>
      <c r="G13" s="244" t="s">
        <v>392</v>
      </c>
      <c r="H13" s="245"/>
    </row>
    <row r="14">
      <c r="A14" s="241"/>
      <c r="B14" s="242"/>
      <c r="C14" s="242"/>
      <c r="D14" s="241"/>
      <c r="E14" s="244"/>
      <c r="F14" s="243"/>
      <c r="G14" s="244" t="s">
        <v>393</v>
      </c>
      <c r="H14" s="245"/>
    </row>
    <row r="15">
      <c r="A15" s="246">
        <v>4</v>
      </c>
      <c r="B15" s="247" t="s">
        <v>386</v>
      </c>
      <c r="C15" s="247"/>
      <c r="D15" s="248"/>
      <c r="E15" s="249" t="s">
        <v>394</v>
      </c>
      <c r="F15" s="249"/>
      <c r="G15" s="249"/>
      <c r="H15" s="250"/>
    </row>
    <row r="16">
      <c r="A16" s="241">
        <v>5</v>
      </c>
      <c r="B16" s="242" t="s">
        <v>379</v>
      </c>
      <c r="C16" s="242"/>
      <c r="D16" s="243"/>
      <c r="E16" s="244" t="s">
        <v>395</v>
      </c>
      <c r="F16" s="243"/>
      <c r="G16" s="244" t="s">
        <v>396</v>
      </c>
      <c r="H16" s="245"/>
    </row>
    <row r="17">
      <c r="A17" s="242"/>
      <c r="B17" s="242"/>
      <c r="C17" s="242"/>
      <c r="D17" s="243"/>
      <c r="E17" s="243"/>
      <c r="F17" s="243"/>
      <c r="G17" s="244" t="s">
        <v>397</v>
      </c>
      <c r="H17" s="245"/>
    </row>
    <row r="18">
      <c r="A18" s="242"/>
      <c r="B18" s="242"/>
      <c r="C18" s="242"/>
      <c r="D18" s="243"/>
      <c r="E18" s="243"/>
      <c r="F18" s="243"/>
      <c r="G18" s="244" t="s">
        <v>398</v>
      </c>
      <c r="H18" s="245"/>
    </row>
    <row r="19">
      <c r="A19" s="253">
        <v>6</v>
      </c>
      <c r="B19" s="247" t="s">
        <v>386</v>
      </c>
      <c r="C19" s="247"/>
      <c r="D19" s="248"/>
      <c r="E19" s="249" t="s">
        <v>399</v>
      </c>
      <c r="F19" s="249"/>
      <c r="G19" s="249"/>
      <c r="H19" s="250"/>
    </row>
    <row r="20">
      <c r="A20" s="241">
        <v>7</v>
      </c>
      <c r="B20" s="254" t="s">
        <v>379</v>
      </c>
      <c r="C20" s="254"/>
      <c r="D20" s="243"/>
      <c r="E20" s="244" t="s">
        <v>400</v>
      </c>
      <c r="F20" s="243"/>
      <c r="G20" s="244" t="s">
        <v>401</v>
      </c>
      <c r="H20" s="245"/>
    </row>
    <row r="21">
      <c r="A21" s="242"/>
      <c r="B21" s="254"/>
      <c r="C21" s="254"/>
      <c r="D21" s="243"/>
      <c r="E21" s="244"/>
      <c r="F21" s="243"/>
      <c r="G21" s="244" t="s">
        <v>402</v>
      </c>
      <c r="H21" s="255"/>
    </row>
    <row r="22">
      <c r="A22" s="242"/>
      <c r="B22" s="254"/>
      <c r="C22" s="254"/>
      <c r="D22" s="243"/>
      <c r="E22" s="244"/>
      <c r="F22" s="243"/>
      <c r="G22" s="244" t="s">
        <v>403</v>
      </c>
      <c r="H22" s="245"/>
    </row>
    <row r="23">
      <c r="A23" s="242"/>
      <c r="B23" s="254"/>
      <c r="C23" s="254"/>
      <c r="D23" s="243"/>
      <c r="E23" s="244"/>
      <c r="F23" s="243"/>
      <c r="G23" s="244" t="s">
        <v>404</v>
      </c>
      <c r="H23" s="245"/>
    </row>
    <row r="24">
      <c r="A24" s="246">
        <v>8</v>
      </c>
      <c r="B24" s="247" t="s">
        <v>386</v>
      </c>
      <c r="C24" s="247"/>
      <c r="D24" s="248"/>
      <c r="E24" s="249" t="s">
        <v>405</v>
      </c>
      <c r="F24" s="249"/>
      <c r="G24" s="249"/>
      <c r="H24" s="250"/>
    </row>
    <row r="25">
      <c r="A25" s="241">
        <v>9</v>
      </c>
      <c r="B25" s="242" t="s">
        <v>379</v>
      </c>
      <c r="C25" s="242"/>
      <c r="D25" s="243"/>
      <c r="E25" s="244" t="s">
        <v>406</v>
      </c>
      <c r="F25" s="243"/>
      <c r="G25" s="244" t="s">
        <v>407</v>
      </c>
      <c r="H25" s="245"/>
    </row>
    <row r="26">
      <c r="A26" s="241"/>
      <c r="B26" s="242"/>
      <c r="C26" s="242"/>
      <c r="D26" s="243"/>
      <c r="E26" s="244"/>
      <c r="F26" s="243"/>
      <c r="G26" s="244" t="s">
        <v>408</v>
      </c>
      <c r="H26" s="245"/>
    </row>
    <row r="27">
      <c r="A27" s="241"/>
      <c r="B27" s="242"/>
      <c r="C27" s="242"/>
      <c r="D27" s="243"/>
      <c r="E27" s="244"/>
      <c r="F27" s="243"/>
      <c r="G27" s="244" t="s">
        <v>409</v>
      </c>
      <c r="H27" s="245"/>
    </row>
    <row r="28">
      <c r="A28" s="253">
        <v>10</v>
      </c>
      <c r="B28" s="247" t="s">
        <v>386</v>
      </c>
      <c r="C28" s="247"/>
      <c r="D28" s="248"/>
      <c r="E28" s="249" t="s">
        <v>410</v>
      </c>
      <c r="F28" s="249"/>
      <c r="G28" s="249"/>
      <c r="H28" s="250"/>
    </row>
    <row r="29">
      <c r="A29" s="241">
        <v>11</v>
      </c>
      <c r="B29" s="254" t="s">
        <v>379</v>
      </c>
      <c r="C29" s="254"/>
      <c r="D29" s="243"/>
      <c r="E29" s="244" t="s">
        <v>411</v>
      </c>
      <c r="F29" s="243"/>
      <c r="G29" s="256" t="s">
        <v>412</v>
      </c>
      <c r="H29" s="245"/>
    </row>
    <row r="30">
      <c r="A30" s="241"/>
      <c r="B30" s="254"/>
      <c r="C30" s="254"/>
      <c r="D30" s="243"/>
      <c r="E30" s="244"/>
      <c r="F30" s="243"/>
      <c r="G30" s="256" t="s">
        <v>413</v>
      </c>
      <c r="H30" s="255"/>
    </row>
    <row r="31">
      <c r="A31" s="241"/>
      <c r="B31" s="254"/>
      <c r="C31" s="254"/>
      <c r="D31" s="243"/>
      <c r="E31" s="244"/>
      <c r="F31" s="243"/>
      <c r="G31" s="256" t="s">
        <v>414</v>
      </c>
      <c r="H31" s="245"/>
    </row>
    <row r="32">
      <c r="A32" s="241"/>
      <c r="B32" s="254"/>
      <c r="C32" s="254"/>
      <c r="D32" s="243"/>
      <c r="E32" s="244"/>
      <c r="F32" s="243"/>
      <c r="G32" s="256" t="s">
        <v>415</v>
      </c>
      <c r="H32" s="245"/>
    </row>
    <row r="33">
      <c r="A33" s="253">
        <v>12</v>
      </c>
      <c r="B33" s="247" t="s">
        <v>386</v>
      </c>
      <c r="C33" s="247"/>
      <c r="D33" s="248"/>
      <c r="E33" s="249" t="s">
        <v>416</v>
      </c>
      <c r="F33" s="249"/>
      <c r="G33" s="249"/>
      <c r="H33" s="250"/>
    </row>
    <row r="34">
      <c r="A34" s="257">
        <v>13</v>
      </c>
      <c r="B34" s="258" t="s">
        <v>417</v>
      </c>
      <c r="C34" s="258"/>
      <c r="D34" s="259"/>
      <c r="E34" s="260" t="s">
        <v>418</v>
      </c>
      <c r="F34" s="260"/>
      <c r="G34" s="260"/>
      <c r="H34" s="261"/>
    </row>
    <row r="35">
      <c r="A35" s="262">
        <v>14</v>
      </c>
      <c r="B35" s="263" t="s">
        <v>419</v>
      </c>
      <c r="C35" s="264"/>
      <c r="D35" s="265"/>
      <c r="E35" s="266" t="s">
        <v>420</v>
      </c>
      <c r="F35" s="266"/>
      <c r="G35" s="266"/>
      <c r="H35" s="267"/>
    </row>
    <row r="36">
      <c r="A36" s="241">
        <v>15</v>
      </c>
      <c r="B36" s="242" t="s">
        <v>379</v>
      </c>
      <c r="C36" s="242"/>
      <c r="D36" s="243"/>
      <c r="E36" s="244" t="s">
        <v>421</v>
      </c>
      <c r="F36" s="243"/>
      <c r="G36" s="244" t="s">
        <v>422</v>
      </c>
      <c r="H36" s="245"/>
    </row>
    <row r="37">
      <c r="A37" s="241"/>
      <c r="B37" s="242"/>
      <c r="C37" s="242"/>
      <c r="D37" s="243"/>
      <c r="E37" s="244"/>
      <c r="F37" s="243"/>
      <c r="G37" s="244" t="s">
        <v>423</v>
      </c>
      <c r="H37" s="245"/>
    </row>
    <row r="38">
      <c r="A38" s="241"/>
      <c r="B38" s="242"/>
      <c r="C38" s="242"/>
      <c r="D38" s="243"/>
      <c r="E38" s="244"/>
      <c r="F38" s="243"/>
      <c r="G38" s="244" t="s">
        <v>424</v>
      </c>
      <c r="H38" s="245"/>
    </row>
    <row r="39">
      <c r="A39" s="253">
        <v>16</v>
      </c>
      <c r="B39" s="247" t="s">
        <v>386</v>
      </c>
      <c r="C39" s="247"/>
      <c r="D39" s="248"/>
      <c r="E39" s="249" t="s">
        <v>425</v>
      </c>
      <c r="F39" s="249"/>
      <c r="G39" s="249"/>
      <c r="H39" s="250"/>
    </row>
    <row r="40">
      <c r="A40" s="241">
        <v>17</v>
      </c>
      <c r="B40" s="254" t="s">
        <v>379</v>
      </c>
      <c r="C40" s="254"/>
      <c r="D40" s="243"/>
      <c r="E40" s="244" t="s">
        <v>426</v>
      </c>
      <c r="F40" s="243"/>
      <c r="G40" s="268" t="s">
        <v>427</v>
      </c>
      <c r="H40" s="245"/>
    </row>
    <row r="41">
      <c r="A41" s="241"/>
      <c r="B41" s="254"/>
      <c r="C41" s="254"/>
      <c r="D41" s="243"/>
      <c r="E41" s="244"/>
      <c r="F41" s="243"/>
      <c r="G41" s="268" t="s">
        <v>428</v>
      </c>
      <c r="H41" s="255"/>
    </row>
    <row r="42">
      <c r="A42" s="241"/>
      <c r="B42" s="254"/>
      <c r="C42" s="254"/>
      <c r="D42" s="243"/>
      <c r="E42" s="244"/>
      <c r="F42" s="243"/>
      <c r="G42" s="268" t="s">
        <v>429</v>
      </c>
      <c r="H42" s="245"/>
    </row>
    <row r="43">
      <c r="A43" s="253">
        <v>18</v>
      </c>
      <c r="B43" s="247" t="s">
        <v>386</v>
      </c>
      <c r="C43" s="247"/>
      <c r="D43" s="248"/>
      <c r="E43" s="249" t="s">
        <v>430</v>
      </c>
      <c r="F43" s="249"/>
      <c r="G43" s="249"/>
      <c r="H43" s="250"/>
    </row>
    <row r="44">
      <c r="A44" s="241">
        <v>19</v>
      </c>
      <c r="B44" s="254" t="s">
        <v>379</v>
      </c>
      <c r="C44" s="254"/>
      <c r="D44" s="243"/>
      <c r="E44" s="244" t="s">
        <v>426</v>
      </c>
      <c r="F44" s="243"/>
      <c r="G44" s="269" t="s">
        <v>431</v>
      </c>
      <c r="H44" s="245"/>
    </row>
    <row r="45">
      <c r="A45" s="241"/>
      <c r="B45" s="254"/>
      <c r="C45" s="254"/>
      <c r="D45" s="243"/>
      <c r="E45" s="244"/>
      <c r="F45" s="243"/>
      <c r="G45" s="269" t="s">
        <v>432</v>
      </c>
      <c r="H45" s="245"/>
    </row>
    <row r="46">
      <c r="A46" s="241"/>
      <c r="B46" s="254"/>
      <c r="C46" s="254"/>
      <c r="D46" s="243"/>
      <c r="E46" s="244"/>
      <c r="F46" s="243"/>
      <c r="G46" s="268" t="s">
        <v>433</v>
      </c>
      <c r="H46" s="245"/>
    </row>
    <row r="47">
      <c r="A47" s="253">
        <v>20</v>
      </c>
      <c r="B47" s="247" t="s">
        <v>386</v>
      </c>
      <c r="C47" s="247"/>
      <c r="D47" s="248"/>
      <c r="E47" s="249" t="s">
        <v>434</v>
      </c>
      <c r="F47" s="249"/>
      <c r="G47" s="249"/>
      <c r="H47" s="250"/>
    </row>
    <row r="48">
      <c r="A48" s="253">
        <v>21</v>
      </c>
      <c r="B48" s="247" t="s">
        <v>386</v>
      </c>
      <c r="C48" s="247"/>
      <c r="D48" s="248"/>
      <c r="E48" s="249" t="s">
        <v>435</v>
      </c>
      <c r="F48" s="249"/>
      <c r="G48" s="249"/>
      <c r="H48" s="250"/>
    </row>
    <row r="49">
      <c r="A49" s="257">
        <v>22</v>
      </c>
      <c r="B49" s="258" t="s">
        <v>417</v>
      </c>
      <c r="C49" s="258"/>
      <c r="D49" s="259"/>
      <c r="E49" s="260" t="s">
        <v>436</v>
      </c>
      <c r="F49" s="260"/>
      <c r="G49" s="260"/>
      <c r="H49" s="261"/>
    </row>
    <row r="50">
      <c r="A50" s="262">
        <v>23</v>
      </c>
      <c r="B50" s="264" t="s">
        <v>437</v>
      </c>
      <c r="C50" s="264"/>
      <c r="D50" s="265"/>
      <c r="E50" s="266" t="s">
        <v>437</v>
      </c>
      <c r="F50" s="266"/>
      <c r="G50" s="266"/>
      <c r="H50" s="267"/>
    </row>
    <row r="51">
      <c r="A51" s="237"/>
      <c r="B51" s="237"/>
      <c r="C51" s="237"/>
      <c r="D51" s="237"/>
      <c r="E51" s="237"/>
      <c r="F51" s="237"/>
      <c r="G51" s="237"/>
      <c r="H51" s="270"/>
    </row>
    <row r="52">
      <c r="A52" s="237"/>
      <c r="B52" s="237"/>
      <c r="C52" s="237"/>
      <c r="D52" s="237"/>
      <c r="E52" s="237"/>
      <c r="F52" s="237"/>
      <c r="G52" s="237"/>
      <c r="H52" s="270"/>
    </row>
    <row r="53">
      <c r="A53" s="237"/>
      <c r="B53" s="237"/>
      <c r="C53" s="237"/>
      <c r="D53" s="237"/>
      <c r="E53" s="237"/>
      <c r="F53" s="237"/>
      <c r="G53" s="237"/>
      <c r="H53" s="270"/>
    </row>
    <row r="54">
      <c r="A54" s="237"/>
      <c r="B54" s="237"/>
      <c r="C54" s="237"/>
      <c r="D54" s="237"/>
      <c r="E54" s="237"/>
      <c r="F54" s="237"/>
      <c r="G54" s="237"/>
      <c r="H54" s="270"/>
    </row>
    <row r="55">
      <c r="A55" s="237"/>
      <c r="B55" s="237"/>
      <c r="C55" s="237"/>
      <c r="D55" s="237"/>
      <c r="E55" s="237"/>
      <c r="F55" s="237"/>
      <c r="G55" s="237"/>
      <c r="H55" s="270"/>
    </row>
    <row r="56">
      <c r="A56" s="237"/>
      <c r="B56" s="237"/>
      <c r="C56" s="237"/>
      <c r="D56" s="237"/>
      <c r="E56" s="237"/>
      <c r="F56" s="237"/>
      <c r="G56" s="237"/>
      <c r="H56" s="270"/>
    </row>
  </sheetData>
  <mergeCells>
    <mergeCell ref="E49:G49"/>
    <mergeCell ref="B49:C49"/>
    <mergeCell ref="B48:C48"/>
    <mergeCell ref="E48:G48"/>
    <mergeCell ref="B47:C47"/>
    <mergeCell ref="E47:G47"/>
    <mergeCell ref="E44:E46"/>
    <mergeCell ref="A44:A46"/>
    <mergeCell ref="D44:D46"/>
    <mergeCell ref="B44:C46"/>
    <mergeCell ref="B43:C43"/>
    <mergeCell ref="E43:G43"/>
    <mergeCell ref="E40:E42"/>
    <mergeCell ref="A40:A42"/>
    <mergeCell ref="D40:D42"/>
    <mergeCell ref="B40:C42"/>
    <mergeCell ref="B39:C39"/>
    <mergeCell ref="E39:G39"/>
    <mergeCell ref="B36:C38"/>
    <mergeCell ref="E36:E38"/>
    <mergeCell ref="D36:D38"/>
    <mergeCell ref="A36:A38"/>
    <mergeCell ref="E50:G50"/>
    <mergeCell ref="B50:C50"/>
    <mergeCell ref="E34:G34"/>
    <mergeCell ref="B34:C34"/>
    <mergeCell ref="B33:C33"/>
    <mergeCell ref="E33:G33"/>
    <mergeCell ref="E20:E23"/>
    <mergeCell ref="A20:A23"/>
    <mergeCell ref="D20:D23"/>
    <mergeCell ref="B20:C23"/>
    <mergeCell ref="E19:G19"/>
    <mergeCell ref="E10:E14"/>
    <mergeCell ref="D10:D14"/>
    <mergeCell ref="A10:A14"/>
    <mergeCell ref="B10:C14"/>
    <mergeCell ref="B19:C19"/>
    <mergeCell ref="B16:C18"/>
    <mergeCell ref="B15:C15"/>
    <mergeCell ref="E16:E18"/>
    <mergeCell ref="E15:G15"/>
    <mergeCell ref="D16:D18"/>
    <mergeCell ref="A16:A18"/>
    <mergeCell ref="B9:C9"/>
    <mergeCell ref="E9:G9"/>
    <mergeCell ref="E4:E8"/>
    <mergeCell ref="D4:D8"/>
    <mergeCell ref="B4:C8"/>
    <mergeCell ref="A4:A8"/>
    <mergeCell ref="A1:H1"/>
    <mergeCell ref="A2:C2"/>
    <mergeCell ref="B3:C3"/>
    <mergeCell ref="B24:C24"/>
    <mergeCell ref="E24:G24"/>
    <mergeCell ref="B25:C27"/>
    <mergeCell ref="E25:E27"/>
    <mergeCell ref="D25:D27"/>
    <mergeCell ref="A25:A27"/>
    <mergeCell ref="B28:C28"/>
    <mergeCell ref="E29:E32"/>
    <mergeCell ref="A29:A32"/>
    <mergeCell ref="D29:D32"/>
    <mergeCell ref="B29:C32"/>
    <mergeCell ref="E28:G28"/>
    <mergeCell ref="B35:C35"/>
    <mergeCell ref="E35:G35"/>
  </mergeCells>
  <dataValidations count="1">
    <dataValidation allowBlank="true" errorStyle="stop" showErrorMessage="true" sqref="B4:B4 B9:B10 B15:B16 B19:B20 B24:B25 B28:B29 B33:B36 B39:B40 B43:B44 B47:B50" type="list">
      <formula1>"Lý thuyết,Thực hành,Hackathon,Thi cuối môn,Mini project"</formula1>
    </dataValidation>
  </dataValidation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4e83fd"/>
    <outlinePr summaryBelow="false" summaryRight="false"/>
  </sheetPr>
  <dimension ref="A1"/>
  <sheetViews>
    <sheetView showGridLines="true" workbookViewId="0"/>
  </sheetViews>
  <sheetFormatPr defaultColWidth="12" defaultRowHeight="18"/>
  <cols>
    <col collapsed="false" customWidth="true" hidden="false" max="1" min="1" style="0" width="11"/>
    <col collapsed="false" customWidth="true" hidden="false" max="4" min="4" style="0" width="12"/>
    <col collapsed="false" customWidth="true" hidden="false" max="5" min="5" style="0" width="38"/>
    <col collapsed="false" customWidth="true" hidden="false" max="7" min="7" style="0" width="97"/>
    <col collapsed="false" customWidth="true" hidden="false" max="2" min="2" style="0" width="8"/>
    <col collapsed="false" customWidth="true" hidden="false" max="3" min="3" style="0" width="10"/>
    <col collapsed="false" customWidth="true" hidden="false" max="6" min="6" style="0" width="14"/>
    <col collapsed="false" customWidth="true" hidden="false" max="8" min="8" style="0" width="28"/>
  </cols>
  <sheetData>
    <row customHeight="true" ht="22" r="1">
      <c r="A1" s="271" t="s">
        <v>438</v>
      </c>
      <c r="B1" s="271"/>
      <c r="C1" s="271"/>
      <c r="D1" s="271"/>
      <c r="E1" s="271"/>
      <c r="F1" s="271"/>
      <c r="G1" s="271"/>
      <c r="H1" s="271"/>
    </row>
    <row customHeight="true" ht="22" r="2">
      <c r="A2" s="272"/>
      <c r="B2" s="272"/>
      <c r="C2" s="272"/>
      <c r="D2" s="272"/>
      <c r="E2" s="272"/>
      <c r="F2" s="272"/>
      <c r="G2" s="272"/>
      <c r="H2" s="272"/>
    </row>
    <row r="3">
      <c r="A3" s="273" t="s">
        <v>439</v>
      </c>
      <c r="B3" s="273" t="s">
        <v>440</v>
      </c>
      <c r="C3" s="273"/>
      <c r="D3" s="273" t="s">
        <v>441</v>
      </c>
      <c r="E3" s="273" t="s">
        <v>442</v>
      </c>
      <c r="F3" s="273" t="s">
        <v>443</v>
      </c>
      <c r="G3" s="274" t="s">
        <v>444</v>
      </c>
      <c r="H3" s="275" t="s">
        <v>445</v>
      </c>
    </row>
    <row r="4">
      <c r="A4" s="276">
        <v>1</v>
      </c>
      <c r="B4" s="277" t="s">
        <v>446</v>
      </c>
      <c r="C4" s="277"/>
      <c r="D4" s="278"/>
      <c r="E4" s="279" t="s">
        <v>447</v>
      </c>
      <c r="F4" s="279"/>
      <c r="G4" s="280" t="s">
        <v>448</v>
      </c>
      <c r="H4" s="281"/>
    </row>
    <row r="5">
      <c r="A5" s="276"/>
      <c r="B5" s="277"/>
      <c r="C5" s="277"/>
      <c r="D5" s="278"/>
      <c r="E5" s="279"/>
      <c r="F5" s="279"/>
      <c r="G5" s="282" t="s">
        <v>449</v>
      </c>
      <c r="H5" s="281"/>
    </row>
    <row r="6">
      <c r="A6" s="276"/>
      <c r="B6" s="277"/>
      <c r="C6" s="277"/>
      <c r="D6" s="278"/>
      <c r="E6" s="279"/>
      <c r="F6" s="279"/>
      <c r="G6" s="280" t="s">
        <v>450</v>
      </c>
      <c r="H6" s="281"/>
    </row>
    <row r="7">
      <c r="A7" s="276"/>
      <c r="B7" s="277"/>
      <c r="C7" s="277"/>
      <c r="D7" s="278"/>
      <c r="E7" s="279"/>
      <c r="F7" s="279"/>
      <c r="G7" s="282" t="s">
        <v>451</v>
      </c>
      <c r="H7" s="281"/>
    </row>
    <row r="8">
      <c r="A8" s="276"/>
      <c r="B8" s="277"/>
      <c r="C8" s="277"/>
      <c r="D8" s="278"/>
      <c r="E8" s="279"/>
      <c r="F8" s="279"/>
      <c r="G8" s="282" t="s">
        <v>452</v>
      </c>
      <c r="H8" s="281"/>
    </row>
    <row r="9">
      <c r="A9" s="276"/>
      <c r="B9" s="277"/>
      <c r="C9" s="277"/>
      <c r="D9" s="278"/>
      <c r="E9" s="279"/>
      <c r="F9" s="279"/>
      <c r="G9" s="280" t="s">
        <v>453</v>
      </c>
      <c r="H9" s="281"/>
    </row>
    <row r="10">
      <c r="A10" s="283">
        <v>2</v>
      </c>
      <c r="B10" s="284" t="s">
        <v>454</v>
      </c>
      <c r="C10" s="284"/>
      <c r="D10" s="285"/>
      <c r="E10" s="286" t="s">
        <v>455</v>
      </c>
      <c r="F10" s="286"/>
      <c r="G10" s="286"/>
      <c r="H10" s="287"/>
    </row>
    <row r="11">
      <c r="A11" s="276">
        <v>3</v>
      </c>
      <c r="B11" s="277" t="s">
        <v>446</v>
      </c>
      <c r="C11" s="277"/>
      <c r="D11" s="278"/>
      <c r="E11" s="288" t="s">
        <v>456</v>
      </c>
      <c r="F11" s="279"/>
      <c r="G11" s="280" t="s">
        <v>457</v>
      </c>
      <c r="H11" s="281"/>
    </row>
    <row r="12">
      <c r="A12" s="276"/>
      <c r="B12" s="277"/>
      <c r="C12" s="277"/>
      <c r="D12" s="278"/>
      <c r="E12" s="288"/>
      <c r="F12" s="279"/>
      <c r="G12" s="280" t="s">
        <v>458</v>
      </c>
      <c r="H12" s="281"/>
    </row>
    <row r="13">
      <c r="A13" s="276"/>
      <c r="B13" s="277"/>
      <c r="C13" s="277"/>
      <c r="D13" s="278"/>
      <c r="E13" s="288"/>
      <c r="F13" s="279"/>
      <c r="G13" s="280" t="s">
        <v>459</v>
      </c>
      <c r="H13" s="281"/>
    </row>
    <row r="14">
      <c r="A14" s="283">
        <v>4</v>
      </c>
      <c r="B14" s="284" t="s">
        <v>454</v>
      </c>
      <c r="C14" s="284"/>
      <c r="D14" s="285"/>
      <c r="E14" s="286" t="s">
        <v>460</v>
      </c>
      <c r="F14" s="286"/>
      <c r="G14" s="286"/>
      <c r="H14" s="287"/>
    </row>
    <row r="15">
      <c r="A15" s="276">
        <v>5</v>
      </c>
      <c r="B15" s="277" t="s">
        <v>446</v>
      </c>
      <c r="C15" s="277"/>
      <c r="D15" s="278"/>
      <c r="E15" s="288" t="s">
        <v>461</v>
      </c>
      <c r="F15" s="279"/>
      <c r="G15" s="280" t="s">
        <v>462</v>
      </c>
      <c r="H15" s="281"/>
    </row>
    <row r="16">
      <c r="A16" s="276"/>
      <c r="B16" s="277"/>
      <c r="C16" s="277"/>
      <c r="D16" s="278"/>
      <c r="E16" s="279"/>
      <c r="F16" s="279"/>
      <c r="G16" s="282" t="s">
        <v>463</v>
      </c>
      <c r="H16" s="281"/>
    </row>
    <row r="17">
      <c r="A17" s="276"/>
      <c r="B17" s="277"/>
      <c r="C17" s="277"/>
      <c r="D17" s="278"/>
      <c r="E17" s="279"/>
      <c r="F17" s="279"/>
      <c r="G17" s="280" t="s">
        <v>464</v>
      </c>
      <c r="H17" s="281"/>
    </row>
    <row r="18">
      <c r="A18" s="289">
        <v>6</v>
      </c>
      <c r="B18" s="284" t="s">
        <v>454</v>
      </c>
      <c r="C18" s="284"/>
      <c r="D18" s="285"/>
      <c r="E18" s="286" t="s">
        <v>465</v>
      </c>
      <c r="F18" s="286"/>
      <c r="G18" s="286"/>
      <c r="H18" s="287"/>
    </row>
    <row r="19">
      <c r="A19" s="276">
        <v>7</v>
      </c>
      <c r="B19" s="290" t="s">
        <v>446</v>
      </c>
      <c r="C19" s="290"/>
      <c r="D19" s="278"/>
      <c r="E19" s="288" t="s">
        <v>466</v>
      </c>
      <c r="F19" s="279"/>
      <c r="G19" s="280" t="s">
        <v>467</v>
      </c>
      <c r="H19" s="281"/>
    </row>
    <row r="20">
      <c r="A20" s="276"/>
      <c r="B20" s="290"/>
      <c r="C20" s="290"/>
      <c r="D20" s="278"/>
      <c r="E20" s="279"/>
      <c r="F20" s="279"/>
      <c r="G20" s="282" t="s">
        <v>468</v>
      </c>
      <c r="H20" s="291"/>
    </row>
    <row r="21">
      <c r="A21" s="276"/>
      <c r="B21" s="290"/>
      <c r="C21" s="290"/>
      <c r="D21" s="278"/>
      <c r="E21" s="279"/>
      <c r="F21" s="279"/>
      <c r="G21" s="282" t="s">
        <v>469</v>
      </c>
      <c r="H21" s="281"/>
    </row>
    <row r="22">
      <c r="A22" s="289">
        <v>8</v>
      </c>
      <c r="B22" s="284" t="s">
        <v>454</v>
      </c>
      <c r="C22" s="284"/>
      <c r="D22" s="292"/>
      <c r="E22" s="293" t="s">
        <v>470</v>
      </c>
      <c r="F22" s="293"/>
      <c r="G22" s="293"/>
      <c r="H22" s="294"/>
    </row>
    <row r="23">
      <c r="A23" s="295">
        <v>9</v>
      </c>
      <c r="B23" s="296" t="s">
        <v>471</v>
      </c>
      <c r="C23" s="296"/>
      <c r="D23" s="297"/>
      <c r="E23" s="298" t="s">
        <v>472</v>
      </c>
      <c r="F23" s="298"/>
      <c r="G23" s="298"/>
      <c r="H23" s="299"/>
    </row>
    <row r="24">
      <c r="A24" s="300">
        <v>10</v>
      </c>
      <c r="B24" s="301" t="s">
        <v>473</v>
      </c>
      <c r="C24" s="301"/>
      <c r="D24" s="302"/>
      <c r="E24" s="303" t="s">
        <v>473</v>
      </c>
      <c r="F24" s="303"/>
      <c r="G24" s="303"/>
      <c r="H24" s="304"/>
    </row>
    <row r="25">
      <c r="A25" s="305"/>
      <c r="B25" s="305"/>
      <c r="C25" s="305"/>
      <c r="D25" s="305"/>
      <c r="E25" s="305"/>
      <c r="F25" s="305"/>
      <c r="G25" s="305"/>
      <c r="H25" s="306"/>
    </row>
    <row r="26">
      <c r="A26" s="305"/>
      <c r="B26" s="305"/>
      <c r="C26" s="305"/>
      <c r="D26" s="305"/>
      <c r="E26" s="305"/>
      <c r="F26" s="305"/>
      <c r="G26" s="305"/>
      <c r="H26" s="306"/>
    </row>
    <row r="27">
      <c r="A27" s="305"/>
      <c r="B27" s="305"/>
      <c r="C27" s="305"/>
      <c r="D27" s="305"/>
      <c r="E27" s="305"/>
      <c r="F27" s="305"/>
      <c r="G27" s="305"/>
      <c r="H27" s="306"/>
    </row>
    <row r="28">
      <c r="A28" s="305"/>
      <c r="B28" s="305"/>
      <c r="C28" s="305"/>
      <c r="D28" s="305"/>
      <c r="E28" s="305"/>
      <c r="F28" s="305"/>
      <c r="G28" s="305"/>
      <c r="H28" s="306"/>
    </row>
    <row r="29">
      <c r="A29" s="305"/>
      <c r="B29" s="305"/>
      <c r="C29" s="305"/>
      <c r="D29" s="305"/>
      <c r="E29" s="305"/>
      <c r="F29" s="305"/>
      <c r="G29" s="305"/>
      <c r="H29" s="306"/>
    </row>
    <row r="30">
      <c r="A30" s="305"/>
      <c r="B30" s="305"/>
      <c r="C30" s="305"/>
      <c r="D30" s="305"/>
      <c r="E30" s="305"/>
      <c r="F30" s="305"/>
      <c r="G30" s="305"/>
      <c r="H30" s="306"/>
    </row>
  </sheetData>
  <mergeCells>
    <mergeCell ref="E4:E9"/>
    <mergeCell ref="A4:A9"/>
    <mergeCell ref="D4:D9"/>
    <mergeCell ref="B4:C9"/>
    <mergeCell ref="B10:C10"/>
    <mergeCell ref="E10:G10"/>
    <mergeCell ref="E11:E13"/>
    <mergeCell ref="B11:C13"/>
    <mergeCell ref="D11:D13"/>
    <mergeCell ref="A11:A13"/>
    <mergeCell ref="B14:C14"/>
    <mergeCell ref="E14:G14"/>
    <mergeCell ref="B15:C17"/>
    <mergeCell ref="E15:E17"/>
    <mergeCell ref="D15:D17"/>
    <mergeCell ref="A15:A17"/>
    <mergeCell ref="B18:C18"/>
    <mergeCell ref="E18:G18"/>
    <mergeCell ref="E19:E21"/>
    <mergeCell ref="B19:C21"/>
    <mergeCell ref="D19:D21"/>
    <mergeCell ref="A19:A21"/>
    <mergeCell ref="B22:C22"/>
    <mergeCell ref="E22:G22"/>
    <mergeCell ref="B23:C23"/>
    <mergeCell ref="E23:G23"/>
    <mergeCell ref="B24:C24"/>
    <mergeCell ref="E24:G24"/>
    <mergeCell ref="A2:H2"/>
    <mergeCell ref="A1:H1"/>
    <mergeCell ref="B3:C3"/>
  </mergeCells>
  <dataValidations count="1">
    <dataValidation allowBlank="true" errorStyle="stop" showErrorMessage="true" sqref="B4:B4 B10:B11 B14:B15 B18:B19 B22:B24" type="list">
      <formula1>"Lý thuyết,Thực hành,Hackathon,Thi cuối môn,Mini project"</formula1>
    </dataValidation>
  </dataValidations>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4e83fd"/>
    <outlinePr summaryBelow="false" summaryRight="false"/>
  </sheetPr>
  <dimension ref="A1"/>
  <sheetViews>
    <sheetView showGridLines="true" workbookViewId="0"/>
  </sheetViews>
  <sheetFormatPr defaultColWidth="12" defaultRowHeight="18"/>
  <cols>
    <col collapsed="false" customWidth="true" hidden="false" max="2" min="2" style="0" width="8"/>
    <col collapsed="false" customWidth="true" hidden="false" max="4" min="4" style="0" width="12"/>
    <col collapsed="false" customWidth="true" hidden="false" max="6" min="6" style="0" width="14"/>
    <col collapsed="false" customWidth="true" hidden="false" max="8" min="8" style="0" width="28"/>
    <col collapsed="false" customWidth="true" hidden="false" max="1" min="1" style="0" width="11"/>
    <col collapsed="false" customWidth="true" hidden="false" max="3" min="3" style="0" width="10"/>
    <col collapsed="false" customWidth="true" hidden="false" max="5" min="5" style="0" width="38"/>
    <col collapsed="false" customWidth="true" hidden="false" max="7" min="7" style="0" width="97"/>
  </cols>
  <sheetData>
    <row customHeight="true" ht="22" r="1">
      <c r="A1" s="307" t="s">
        <v>474</v>
      </c>
      <c r="B1" s="307"/>
      <c r="C1" s="307"/>
      <c r="D1" s="307"/>
      <c r="E1" s="307"/>
      <c r="F1" s="307"/>
      <c r="G1" s="307"/>
      <c r="H1" s="307"/>
    </row>
    <row customHeight="true" ht="22" r="2">
      <c r="A2" s="308"/>
      <c r="B2" s="308"/>
      <c r="C2" s="308"/>
      <c r="D2" s="308"/>
      <c r="E2" s="308"/>
      <c r="F2" s="308"/>
      <c r="G2" s="308"/>
      <c r="H2" s="308"/>
    </row>
    <row r="3">
      <c r="A3" s="309" t="s">
        <v>475</v>
      </c>
      <c r="B3" s="309" t="s">
        <v>476</v>
      </c>
      <c r="C3" s="309"/>
      <c r="D3" s="309" t="s">
        <v>477</v>
      </c>
      <c r="E3" s="309" t="s">
        <v>478</v>
      </c>
      <c r="F3" s="309" t="s">
        <v>479</v>
      </c>
      <c r="G3" s="310" t="s">
        <v>480</v>
      </c>
      <c r="H3" s="311" t="s">
        <v>481</v>
      </c>
    </row>
    <row r="4">
      <c r="A4" s="312">
        <v>1</v>
      </c>
      <c r="B4" s="313" t="s">
        <v>482</v>
      </c>
      <c r="C4" s="313"/>
      <c r="D4" s="314"/>
      <c r="E4" s="315" t="s">
        <v>483</v>
      </c>
      <c r="F4" s="316"/>
      <c r="G4" s="317" t="s">
        <v>483</v>
      </c>
      <c r="H4" s="318"/>
    </row>
    <row r="5">
      <c r="A5" s="312"/>
      <c r="B5" s="313"/>
      <c r="C5" s="313"/>
      <c r="D5" s="314"/>
      <c r="E5" s="316"/>
      <c r="F5" s="316"/>
      <c r="G5" s="317" t="s">
        <v>484</v>
      </c>
      <c r="H5" s="318"/>
    </row>
    <row r="6">
      <c r="A6" s="312"/>
      <c r="B6" s="313"/>
      <c r="C6" s="313"/>
      <c r="D6" s="314"/>
      <c r="E6" s="316"/>
      <c r="F6" s="316"/>
      <c r="G6" s="319" t="s">
        <v>485</v>
      </c>
      <c r="H6" s="318"/>
    </row>
    <row r="7">
      <c r="A7" s="312"/>
      <c r="B7" s="313"/>
      <c r="C7" s="313"/>
      <c r="D7" s="314"/>
      <c r="E7" s="316"/>
      <c r="F7" s="316"/>
      <c r="G7" s="317" t="s">
        <v>486</v>
      </c>
      <c r="H7" s="320" t="s">
        <v>487</v>
      </c>
    </row>
    <row r="8">
      <c r="A8" s="312"/>
      <c r="B8" s="313"/>
      <c r="C8" s="313"/>
      <c r="D8" s="314"/>
      <c r="E8" s="316"/>
      <c r="F8" s="316"/>
      <c r="G8" s="317" t="s">
        <v>488</v>
      </c>
      <c r="H8" s="318"/>
    </row>
    <row r="9">
      <c r="A9" s="312"/>
      <c r="B9" s="313"/>
      <c r="C9" s="313"/>
      <c r="D9" s="314"/>
      <c r="E9" s="316"/>
      <c r="F9" s="316"/>
      <c r="G9" s="317" t="s">
        <v>489</v>
      </c>
      <c r="H9" s="320" t="s">
        <v>490</v>
      </c>
    </row>
    <row r="10">
      <c r="A10" s="321">
        <v>2</v>
      </c>
      <c r="B10" s="322" t="s">
        <v>491</v>
      </c>
      <c r="C10" s="322"/>
      <c r="D10" s="323"/>
      <c r="E10" s="324" t="s">
        <v>492</v>
      </c>
      <c r="F10" s="324"/>
      <c r="G10" s="324"/>
      <c r="H10" s="325"/>
    </row>
    <row r="11">
      <c r="A11" s="312">
        <v>3</v>
      </c>
      <c r="B11" s="313" t="s">
        <v>482</v>
      </c>
      <c r="C11" s="313"/>
      <c r="D11" s="314"/>
      <c r="E11" s="315" t="s">
        <v>493</v>
      </c>
      <c r="F11" s="316"/>
      <c r="G11" s="317" t="s">
        <v>494</v>
      </c>
      <c r="H11" s="318"/>
    </row>
    <row r="12">
      <c r="A12" s="312"/>
      <c r="B12" s="313"/>
      <c r="C12" s="313"/>
      <c r="D12" s="314"/>
      <c r="E12" s="315"/>
      <c r="F12" s="316"/>
      <c r="G12" s="317" t="s">
        <v>495</v>
      </c>
      <c r="H12" s="318"/>
    </row>
    <row r="13">
      <c r="A13" s="312"/>
      <c r="B13" s="313"/>
      <c r="C13" s="313"/>
      <c r="D13" s="314"/>
      <c r="E13" s="315"/>
      <c r="F13" s="316"/>
      <c r="G13" s="317" t="s">
        <v>496</v>
      </c>
      <c r="H13" s="318"/>
    </row>
    <row r="14">
      <c r="A14" s="321">
        <v>4</v>
      </c>
      <c r="B14" s="322" t="s">
        <v>491</v>
      </c>
      <c r="C14" s="322"/>
      <c r="D14" s="323"/>
      <c r="E14" s="326" t="s">
        <v>497</v>
      </c>
      <c r="F14" s="326"/>
      <c r="G14" s="326"/>
      <c r="H14" s="325"/>
    </row>
    <row r="15">
      <c r="A15" s="312">
        <v>5</v>
      </c>
      <c r="B15" s="313" t="s">
        <v>482</v>
      </c>
      <c r="C15" s="313"/>
      <c r="D15" s="314"/>
      <c r="E15" s="315" t="s">
        <v>498</v>
      </c>
      <c r="F15" s="316"/>
      <c r="G15" s="317" t="s">
        <v>499</v>
      </c>
      <c r="H15" s="318"/>
    </row>
    <row r="16">
      <c r="A16" s="312"/>
      <c r="B16" s="313"/>
      <c r="C16" s="313"/>
      <c r="D16" s="314"/>
      <c r="E16" s="316"/>
      <c r="F16" s="316"/>
      <c r="G16" s="317" t="s">
        <v>500</v>
      </c>
      <c r="H16" s="318"/>
    </row>
    <row r="17">
      <c r="A17" s="312"/>
      <c r="B17" s="313"/>
      <c r="C17" s="313"/>
      <c r="D17" s="314"/>
      <c r="E17" s="316"/>
      <c r="F17" s="316"/>
      <c r="G17" s="317" t="s">
        <v>501</v>
      </c>
      <c r="H17" s="318"/>
    </row>
    <row r="18">
      <c r="A18" s="327">
        <v>6</v>
      </c>
      <c r="B18" s="322" t="s">
        <v>491</v>
      </c>
      <c r="C18" s="322"/>
      <c r="D18" s="323"/>
      <c r="E18" s="326" t="s">
        <v>502</v>
      </c>
      <c r="F18" s="326"/>
      <c r="G18" s="326"/>
      <c r="H18" s="325"/>
    </row>
    <row r="19">
      <c r="A19" s="312">
        <v>7</v>
      </c>
      <c r="B19" s="328" t="s">
        <v>482</v>
      </c>
      <c r="C19" s="328"/>
      <c r="D19" s="314"/>
      <c r="E19" s="315" t="s">
        <v>503</v>
      </c>
      <c r="F19" s="316"/>
      <c r="G19" s="317" t="s">
        <v>504</v>
      </c>
      <c r="H19" s="318"/>
    </row>
    <row r="20">
      <c r="A20" s="312"/>
      <c r="B20" s="328"/>
      <c r="C20" s="328"/>
      <c r="D20" s="314"/>
      <c r="E20" s="316"/>
      <c r="F20" s="316"/>
      <c r="G20" s="317" t="s">
        <v>505</v>
      </c>
      <c r="H20" s="329"/>
    </row>
    <row r="21">
      <c r="A21" s="312"/>
      <c r="B21" s="328"/>
      <c r="C21" s="328"/>
      <c r="D21" s="314"/>
      <c r="E21" s="316"/>
      <c r="F21" s="316"/>
      <c r="G21" s="317" t="s">
        <v>506</v>
      </c>
      <c r="H21" s="318"/>
    </row>
    <row r="22">
      <c r="A22" s="327">
        <v>8</v>
      </c>
      <c r="B22" s="322" t="s">
        <v>491</v>
      </c>
      <c r="C22" s="322"/>
      <c r="D22" s="323"/>
      <c r="E22" s="326" t="s">
        <v>507</v>
      </c>
      <c r="F22" s="326"/>
      <c r="G22" s="326"/>
      <c r="H22" s="325"/>
    </row>
    <row r="23">
      <c r="A23" s="312">
        <v>9</v>
      </c>
      <c r="B23" s="328" t="s">
        <v>482</v>
      </c>
      <c r="C23" s="328"/>
      <c r="D23" s="314"/>
      <c r="E23" s="315" t="s">
        <v>508</v>
      </c>
      <c r="F23" s="316"/>
      <c r="G23" s="319" t="s">
        <v>509</v>
      </c>
      <c r="H23" s="318"/>
    </row>
    <row r="24">
      <c r="A24" s="312"/>
      <c r="B24" s="328"/>
      <c r="C24" s="328"/>
      <c r="D24" s="314"/>
      <c r="E24" s="315"/>
      <c r="F24" s="316"/>
      <c r="G24" s="319" t="s">
        <v>510</v>
      </c>
      <c r="H24" s="329"/>
    </row>
    <row r="25">
      <c r="A25" s="312"/>
      <c r="B25" s="328"/>
      <c r="C25" s="328"/>
      <c r="D25" s="314"/>
      <c r="E25" s="315"/>
      <c r="F25" s="316"/>
      <c r="G25" s="319" t="s">
        <v>511</v>
      </c>
      <c r="H25" s="320" t="s">
        <v>512</v>
      </c>
    </row>
    <row r="26">
      <c r="A26" s="327">
        <v>10</v>
      </c>
      <c r="B26" s="322" t="s">
        <v>491</v>
      </c>
      <c r="C26" s="322"/>
      <c r="D26" s="323"/>
      <c r="E26" s="326" t="s">
        <v>507</v>
      </c>
      <c r="F26" s="326"/>
      <c r="G26" s="326"/>
      <c r="H26" s="325"/>
    </row>
    <row r="27">
      <c r="A27" s="312">
        <v>11</v>
      </c>
      <c r="B27" s="313" t="s">
        <v>482</v>
      </c>
      <c r="C27" s="313"/>
      <c r="D27" s="314"/>
      <c r="E27" s="315" t="s">
        <v>513</v>
      </c>
      <c r="F27" s="316"/>
      <c r="G27" s="317" t="s">
        <v>514</v>
      </c>
      <c r="H27" s="318"/>
    </row>
    <row r="28">
      <c r="A28" s="312"/>
      <c r="B28" s="313"/>
      <c r="C28" s="313"/>
      <c r="D28" s="314"/>
      <c r="E28" s="315"/>
      <c r="F28" s="316"/>
      <c r="G28" s="317" t="s">
        <v>515</v>
      </c>
      <c r="H28" s="318"/>
    </row>
    <row r="29">
      <c r="A29" s="312"/>
      <c r="B29" s="313"/>
      <c r="C29" s="313"/>
      <c r="D29" s="314"/>
      <c r="E29" s="315"/>
      <c r="F29" s="316"/>
      <c r="G29" s="317" t="s">
        <v>516</v>
      </c>
      <c r="H29" s="318"/>
    </row>
    <row r="30">
      <c r="A30" s="321">
        <v>12</v>
      </c>
      <c r="B30" s="322" t="s">
        <v>491</v>
      </c>
      <c r="C30" s="322"/>
      <c r="D30" s="323"/>
      <c r="E30" s="326" t="s">
        <v>517</v>
      </c>
      <c r="F30" s="326"/>
      <c r="G30" s="326"/>
      <c r="H30" s="325"/>
    </row>
    <row r="31">
      <c r="A31" s="330">
        <v>13</v>
      </c>
      <c r="B31" s="331" t="s">
        <v>518</v>
      </c>
      <c r="C31" s="331"/>
      <c r="D31" s="332"/>
      <c r="E31" s="333" t="s">
        <v>519</v>
      </c>
      <c r="F31" s="334"/>
      <c r="G31" s="334"/>
      <c r="H31" s="335"/>
    </row>
    <row r="32">
      <c r="A32" s="336">
        <v>14</v>
      </c>
      <c r="B32" s="337" t="s">
        <v>520</v>
      </c>
      <c r="C32" s="337"/>
      <c r="D32" s="338"/>
      <c r="E32" s="339" t="s">
        <v>521</v>
      </c>
      <c r="F32" s="339"/>
      <c r="G32" s="339"/>
      <c r="H32" s="340"/>
    </row>
    <row r="33">
      <c r="A33" s="312">
        <v>15</v>
      </c>
      <c r="B33" s="313" t="s">
        <v>482</v>
      </c>
      <c r="C33" s="313"/>
      <c r="D33" s="314"/>
      <c r="E33" s="315" t="s">
        <v>522</v>
      </c>
      <c r="F33" s="316"/>
      <c r="G33" s="317" t="s">
        <v>523</v>
      </c>
      <c r="H33" s="318"/>
    </row>
    <row r="34">
      <c r="A34" s="312"/>
      <c r="B34" s="313"/>
      <c r="C34" s="313"/>
      <c r="D34" s="314"/>
      <c r="E34" s="315"/>
      <c r="F34" s="316"/>
      <c r="G34" s="317" t="s">
        <v>524</v>
      </c>
      <c r="H34" s="318"/>
    </row>
    <row r="35">
      <c r="A35" s="312"/>
      <c r="B35" s="313"/>
      <c r="C35" s="313"/>
      <c r="D35" s="314"/>
      <c r="E35" s="315"/>
      <c r="F35" s="316"/>
      <c r="G35" s="317" t="s">
        <v>525</v>
      </c>
      <c r="H35" s="318"/>
    </row>
    <row r="36">
      <c r="A36" s="327">
        <v>16</v>
      </c>
      <c r="B36" s="322" t="s">
        <v>491</v>
      </c>
      <c r="C36" s="322"/>
      <c r="D36" s="323"/>
      <c r="E36" s="326" t="s">
        <v>526</v>
      </c>
      <c r="F36" s="326"/>
      <c r="G36" s="326"/>
      <c r="H36" s="325"/>
    </row>
    <row r="37">
      <c r="A37" s="312">
        <v>17</v>
      </c>
      <c r="B37" s="328" t="s">
        <v>482</v>
      </c>
      <c r="C37" s="328"/>
      <c r="D37" s="314"/>
      <c r="E37" s="315" t="s">
        <v>527</v>
      </c>
      <c r="F37" s="316"/>
      <c r="G37" s="317" t="s">
        <v>528</v>
      </c>
      <c r="H37" s="318"/>
    </row>
    <row r="38">
      <c r="A38" s="312"/>
      <c r="B38" s="328"/>
      <c r="C38" s="328"/>
      <c r="D38" s="314"/>
      <c r="E38" s="315"/>
      <c r="F38" s="316"/>
      <c r="G38" s="317" t="s">
        <v>529</v>
      </c>
      <c r="H38" s="329"/>
    </row>
    <row r="39">
      <c r="A39" s="312"/>
      <c r="B39" s="328"/>
      <c r="C39" s="328"/>
      <c r="D39" s="314"/>
      <c r="E39" s="315"/>
      <c r="F39" s="316"/>
      <c r="G39" s="317" t="s">
        <v>530</v>
      </c>
      <c r="H39" s="318"/>
    </row>
    <row r="40">
      <c r="A40" s="327">
        <v>18</v>
      </c>
      <c r="B40" s="322" t="s">
        <v>491</v>
      </c>
      <c r="C40" s="322"/>
      <c r="D40" s="323"/>
      <c r="E40" s="326" t="s">
        <v>531</v>
      </c>
      <c r="F40" s="326"/>
      <c r="G40" s="326"/>
      <c r="H40" s="325"/>
    </row>
    <row r="41">
      <c r="A41" s="312">
        <v>19</v>
      </c>
      <c r="B41" s="328" t="s">
        <v>482</v>
      </c>
      <c r="C41" s="328"/>
      <c r="D41" s="314"/>
      <c r="E41" s="315" t="s">
        <v>532</v>
      </c>
      <c r="F41" s="316"/>
      <c r="G41" s="341" t="s">
        <v>533</v>
      </c>
      <c r="H41" s="318"/>
    </row>
    <row r="42">
      <c r="A42" s="312"/>
      <c r="B42" s="328"/>
      <c r="C42" s="328"/>
      <c r="D42" s="314"/>
      <c r="E42" s="315"/>
      <c r="F42" s="316"/>
      <c r="G42" s="341" t="s">
        <v>534</v>
      </c>
      <c r="H42" s="329"/>
    </row>
    <row r="43">
      <c r="A43" s="312"/>
      <c r="B43" s="328"/>
      <c r="C43" s="328"/>
      <c r="D43" s="314"/>
      <c r="E43" s="315"/>
      <c r="F43" s="316"/>
      <c r="G43" s="341" t="s">
        <v>535</v>
      </c>
      <c r="H43" s="318"/>
    </row>
    <row r="44">
      <c r="A44" s="327">
        <v>20</v>
      </c>
      <c r="B44" s="322" t="s">
        <v>491</v>
      </c>
      <c r="C44" s="322"/>
      <c r="D44" s="323"/>
      <c r="E44" s="326" t="s">
        <v>536</v>
      </c>
      <c r="F44" s="326"/>
      <c r="G44" s="326"/>
      <c r="H44" s="325"/>
    </row>
    <row r="45">
      <c r="A45" s="330">
        <v>21</v>
      </c>
      <c r="B45" s="331" t="s">
        <v>518</v>
      </c>
      <c r="C45" s="331"/>
      <c r="D45" s="332"/>
      <c r="E45" s="334"/>
      <c r="F45" s="334"/>
      <c r="G45" s="334"/>
      <c r="H45" s="335"/>
    </row>
    <row r="46">
      <c r="A46" s="312">
        <v>22</v>
      </c>
      <c r="B46" s="313" t="s">
        <v>482</v>
      </c>
      <c r="C46" s="313"/>
      <c r="D46" s="314"/>
      <c r="E46" s="315" t="s">
        <v>537</v>
      </c>
      <c r="F46" s="316"/>
      <c r="G46" s="342" t="s">
        <v>538</v>
      </c>
      <c r="H46" s="318"/>
    </row>
    <row r="47">
      <c r="A47" s="312"/>
      <c r="B47" s="313"/>
      <c r="C47" s="313"/>
      <c r="D47" s="314"/>
      <c r="E47" s="315"/>
      <c r="F47" s="316"/>
      <c r="G47" s="342" t="s">
        <v>539</v>
      </c>
      <c r="H47" s="318"/>
    </row>
    <row r="48">
      <c r="A48" s="312"/>
      <c r="B48" s="313"/>
      <c r="C48" s="313"/>
      <c r="D48" s="314"/>
      <c r="E48" s="315"/>
      <c r="F48" s="316"/>
      <c r="G48" s="342" t="s">
        <v>540</v>
      </c>
      <c r="H48" s="318"/>
    </row>
    <row r="49">
      <c r="A49" s="321">
        <v>23</v>
      </c>
      <c r="B49" s="322" t="s">
        <v>491</v>
      </c>
      <c r="C49" s="322"/>
      <c r="D49" s="323"/>
      <c r="E49" s="326" t="s">
        <v>541</v>
      </c>
      <c r="F49" s="326"/>
      <c r="G49" s="326"/>
      <c r="H49" s="325"/>
    </row>
    <row r="50">
      <c r="A50" s="312">
        <v>24</v>
      </c>
      <c r="B50" s="313" t="s">
        <v>482</v>
      </c>
      <c r="C50" s="313"/>
      <c r="D50" s="314"/>
      <c r="E50" s="315" t="s">
        <v>542</v>
      </c>
      <c r="F50" s="316"/>
      <c r="G50" s="343" t="s">
        <v>543</v>
      </c>
      <c r="H50" s="318"/>
    </row>
    <row r="51">
      <c r="A51" s="312"/>
      <c r="B51" s="313"/>
      <c r="C51" s="313"/>
      <c r="D51" s="314"/>
      <c r="E51" s="315"/>
      <c r="F51" s="316"/>
      <c r="G51" s="342" t="s">
        <v>544</v>
      </c>
      <c r="H51" s="318"/>
    </row>
    <row r="52">
      <c r="A52" s="312"/>
      <c r="B52" s="313"/>
      <c r="C52" s="313"/>
      <c r="D52" s="314"/>
      <c r="E52" s="315"/>
      <c r="F52" s="316"/>
      <c r="G52" s="342" t="s">
        <v>545</v>
      </c>
      <c r="H52" s="318"/>
    </row>
    <row r="53">
      <c r="A53" s="327">
        <v>25</v>
      </c>
      <c r="B53" s="322" t="s">
        <v>491</v>
      </c>
      <c r="C53" s="322"/>
      <c r="D53" s="323"/>
      <c r="E53" s="326" t="s">
        <v>541</v>
      </c>
      <c r="F53" s="326"/>
      <c r="G53" s="326"/>
      <c r="H53" s="325"/>
    </row>
    <row r="54">
      <c r="A54" s="330">
        <v>26</v>
      </c>
      <c r="B54" s="331" t="s">
        <v>518</v>
      </c>
      <c r="C54" s="331"/>
      <c r="D54" s="332"/>
      <c r="E54" s="334"/>
      <c r="F54" s="334"/>
      <c r="G54" s="334"/>
      <c r="H54" s="335"/>
    </row>
    <row r="55">
      <c r="A55" s="344" t="s">
        <v>546</v>
      </c>
      <c r="B55" s="345" t="s">
        <v>547</v>
      </c>
      <c r="C55" s="345"/>
      <c r="D55" s="346"/>
      <c r="E55" s="347"/>
      <c r="F55" s="347"/>
      <c r="G55" s="347"/>
      <c r="H55" s="348"/>
    </row>
    <row r="56">
      <c r="A56" s="349"/>
      <c r="B56" s="349"/>
      <c r="C56" s="349"/>
      <c r="D56" s="349"/>
      <c r="E56" s="349"/>
      <c r="F56" s="349"/>
      <c r="G56" s="349"/>
      <c r="H56" s="350"/>
    </row>
    <row r="57">
      <c r="A57" s="349"/>
      <c r="B57" s="349"/>
      <c r="C57" s="349"/>
      <c r="D57" s="349"/>
      <c r="E57" s="349"/>
      <c r="F57" s="349"/>
      <c r="G57" s="349"/>
      <c r="H57" s="350"/>
    </row>
    <row r="58">
      <c r="A58" s="349"/>
      <c r="B58" s="349"/>
      <c r="C58" s="349"/>
      <c r="D58" s="349"/>
      <c r="E58" s="349"/>
      <c r="F58" s="349"/>
      <c r="G58" s="349"/>
      <c r="H58" s="350"/>
    </row>
    <row r="59">
      <c r="A59" s="349"/>
      <c r="B59" s="349"/>
      <c r="C59" s="349"/>
      <c r="D59" s="349"/>
      <c r="E59" s="349"/>
      <c r="F59" s="349"/>
      <c r="G59" s="349"/>
      <c r="H59" s="350"/>
    </row>
    <row r="60">
      <c r="A60" s="349"/>
      <c r="B60" s="349"/>
      <c r="C60" s="349"/>
      <c r="D60" s="349"/>
      <c r="E60" s="349"/>
      <c r="F60" s="349"/>
      <c r="G60" s="349"/>
      <c r="H60" s="350"/>
    </row>
    <row r="61">
      <c r="A61" s="349"/>
      <c r="B61" s="349"/>
      <c r="C61" s="349"/>
      <c r="D61" s="349"/>
      <c r="E61" s="349"/>
      <c r="F61" s="349"/>
      <c r="G61" s="349"/>
      <c r="H61" s="350"/>
    </row>
  </sheetData>
  <mergeCells>
    <mergeCell ref="B3:C3"/>
    <mergeCell ref="A1:H1"/>
    <mergeCell ref="A2:H2"/>
    <mergeCell ref="B4:C9"/>
    <mergeCell ref="D4:D9"/>
    <mergeCell ref="A4:A9"/>
    <mergeCell ref="E4:E9"/>
    <mergeCell ref="D41:D43"/>
    <mergeCell ref="B41:C43"/>
    <mergeCell ref="E41:E43"/>
    <mergeCell ref="B40:C40"/>
    <mergeCell ref="D37:D39"/>
    <mergeCell ref="B37:C39"/>
    <mergeCell ref="E37:E39"/>
    <mergeCell ref="B36:C36"/>
    <mergeCell ref="D33:D35"/>
    <mergeCell ref="E33:E35"/>
    <mergeCell ref="B33:C35"/>
    <mergeCell ref="B44:C44"/>
    <mergeCell ref="A41:A43"/>
    <mergeCell ref="A37:A39"/>
    <mergeCell ref="A33:A35"/>
    <mergeCell ref="B45:C45"/>
    <mergeCell ref="E45:G45"/>
    <mergeCell ref="B54:C54"/>
    <mergeCell ref="E54:G54"/>
    <mergeCell ref="B55:C55"/>
    <mergeCell ref="E55:G55"/>
    <mergeCell ref="E46:E48"/>
    <mergeCell ref="B46:C48"/>
    <mergeCell ref="D46:D48"/>
    <mergeCell ref="A46:A48"/>
    <mergeCell ref="B49:C49"/>
    <mergeCell ref="B50:C52"/>
    <mergeCell ref="E50:E52"/>
    <mergeCell ref="D50:D52"/>
    <mergeCell ref="A50:A52"/>
    <mergeCell ref="B53:C53"/>
    <mergeCell ref="E11:E13"/>
    <mergeCell ref="B11:C13"/>
    <mergeCell ref="D11:D13"/>
    <mergeCell ref="A11:A13"/>
    <mergeCell ref="B14:C14"/>
    <mergeCell ref="B15:C17"/>
    <mergeCell ref="E15:E17"/>
    <mergeCell ref="D15:D17"/>
    <mergeCell ref="A15:A17"/>
    <mergeCell ref="B18:C18"/>
    <mergeCell ref="E19:E21"/>
    <mergeCell ref="B19:C21"/>
    <mergeCell ref="D19:D21"/>
    <mergeCell ref="A19:A21"/>
    <mergeCell ref="B22:C22"/>
    <mergeCell ref="E23:E25"/>
    <mergeCell ref="B23:C25"/>
    <mergeCell ref="D23:D25"/>
    <mergeCell ref="A23:A25"/>
    <mergeCell ref="B26:C26"/>
    <mergeCell ref="E27:E29"/>
    <mergeCell ref="B27:C29"/>
    <mergeCell ref="D27:D29"/>
    <mergeCell ref="A27:A29"/>
    <mergeCell ref="B30:C30"/>
    <mergeCell ref="B31:C31"/>
    <mergeCell ref="E31:G31"/>
    <mergeCell ref="B32:C32"/>
    <mergeCell ref="B10:C10"/>
    <mergeCell ref="E10:G10"/>
    <mergeCell ref="E14:G14"/>
    <mergeCell ref="E18:G18"/>
    <mergeCell ref="E22:G22"/>
    <mergeCell ref="E26:G26"/>
    <mergeCell ref="E30:G30"/>
    <mergeCell ref="E36:G36"/>
    <mergeCell ref="E40:G40"/>
    <mergeCell ref="E44:G44"/>
    <mergeCell ref="E49:G49"/>
    <mergeCell ref="E32:G32"/>
    <mergeCell ref="E53:G53"/>
  </mergeCells>
  <dataValidations count="1">
    <dataValidation allowBlank="true" errorStyle="stop" showErrorMessage="true" sqref="B4:B55 C4:C9 C11:C31 C33:C55" type="list">
      <formula1>"Lý thuyết,Thực hành,Hackathon,Thi cuối môn,Mini project,Project"</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